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إعدادات" sheetId="1" state="visible" r:id="rId1"/>
    <sheet name="لوحة التحكم" sheetId="2" state="visible" r:id="rId2"/>
    <sheet name="تأسيسية" sheetId="3" state="visible" r:id="rId3"/>
    <sheet name="تشغيلية" sheetId="4" state="visible" r:id="rId4"/>
    <sheet name="ثابتة" sheetId="5" state="visible" r:id="rId5"/>
    <sheet name="متغيرة" sheetId="6" state="visible" r:id="rId6"/>
    <sheet name="دعاية" sheetId="7" state="visible" r:id="rId7"/>
    <sheet name="أخرى" sheetId="8" state="visible" r:id="rId8"/>
    <sheet name="تسعير المنتجات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#,##0.00&quot; ر.س&quot;"/>
    <numFmt numFmtId="166" formatCode="0.000"/>
    <numFmt numFmtId="167" formatCode="#,##0&quot; وحدة&quot;"/>
  </numFmts>
  <fonts count="23">
    <font>
      <name val="Calibri"/>
      <family val="2"/>
      <color theme="1"/>
      <sz val="11"/>
      <scheme val="minor"/>
    </font>
    <font>
      <name val="Cairo"/>
      <b val="1"/>
      <color rgb="00FFFFFF"/>
      <sz val="16"/>
    </font>
    <font>
      <name val="Cairo"/>
      <i val="1"/>
      <color rgb="00475569"/>
      <sz val="10"/>
    </font>
    <font>
      <name val="Cairo"/>
      <b val="1"/>
      <color rgb="001E293B"/>
      <sz val="11"/>
    </font>
    <font>
      <name val="Cairo"/>
      <i val="1"/>
      <color rgb="0094A3B8"/>
      <sz val="9"/>
    </font>
    <font>
      <name val="Cairo"/>
      <b val="1"/>
      <color rgb="001E293B"/>
      <sz val="12"/>
    </font>
    <font>
      <name val="Cairo"/>
      <b val="1"/>
      <color rgb="00D97706"/>
      <sz val="10"/>
    </font>
    <font>
      <name val="Cairo"/>
      <b val="1"/>
      <color rgb="00FFFFFF"/>
      <sz val="15"/>
    </font>
    <font>
      <name val="Cairo"/>
      <b val="1"/>
      <color rgb="00FFFFFF"/>
      <sz val="12"/>
    </font>
    <font>
      <name val="Cairo"/>
      <color rgb="001E293B"/>
      <sz val="11"/>
    </font>
    <font>
      <name val="Cairo"/>
      <b val="1"/>
      <color rgb="00C2410C"/>
      <sz val="12"/>
    </font>
    <font>
      <name val="Cairo"/>
      <b val="1"/>
      <color rgb="00FFFFFF"/>
      <sz val="11"/>
    </font>
    <font>
      <name val="Cairo"/>
      <i val="1"/>
      <color rgb="00475569"/>
      <sz val="9"/>
    </font>
    <font>
      <name val="Cairo"/>
      <b val="1"/>
      <color rgb="00FFFFFF"/>
      <sz val="13"/>
    </font>
    <font>
      <name val="Cairo"/>
      <color rgb="00475569"/>
      <sz val="11"/>
    </font>
    <font>
      <name val="Cairo"/>
      <b val="1"/>
      <color rgb="00C2410C"/>
      <sz val="11"/>
    </font>
    <font>
      <name val="Cairo"/>
      <b val="1"/>
      <color rgb="0016A34A"/>
      <sz val="11"/>
    </font>
    <font>
      <name val="Cairo"/>
      <b val="1"/>
      <color rgb="0016A34A"/>
      <sz val="14"/>
    </font>
    <font>
      <name val="Cairo"/>
      <b val="1"/>
      <color rgb="00FFFFFF"/>
      <sz val="14"/>
    </font>
    <font>
      <name val="Cairo"/>
      <color rgb="00D97706"/>
      <sz val="11"/>
    </font>
    <font>
      <name val="Cairo"/>
      <color rgb="0094A3B8"/>
      <sz val="9"/>
    </font>
    <font>
      <name val="Cairo"/>
      <color rgb="0016A34A"/>
      <sz val="9"/>
    </font>
    <font>
      <name val="Cairo"/>
      <b val="1"/>
      <color rgb="00D97706"/>
      <sz val="11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FEFCE8"/>
      </patternFill>
    </fill>
    <fill>
      <patternFill patternType="solid">
        <fgColor rgb="00FFFBEB"/>
      </patternFill>
    </fill>
    <fill>
      <patternFill patternType="solid">
        <fgColor rgb="00F97316"/>
      </patternFill>
    </fill>
    <fill>
      <patternFill patternType="solid">
        <fgColor rgb="00FED7AA"/>
      </patternFill>
    </fill>
    <fill>
      <patternFill patternType="solid">
        <fgColor rgb="002563EB"/>
      </patternFill>
    </fill>
    <fill>
      <patternFill patternType="solid">
        <fgColor rgb="00EFF6FF"/>
      </patternFill>
    </fill>
    <fill>
      <patternFill patternType="solid">
        <fgColor rgb="007C3AED"/>
      </patternFill>
    </fill>
    <fill>
      <patternFill patternType="solid">
        <fgColor rgb="00F5F3FF"/>
      </patternFill>
    </fill>
    <fill>
      <patternFill patternType="solid">
        <fgColor rgb="00475569"/>
      </patternFill>
    </fill>
    <fill>
      <patternFill patternType="solid">
        <fgColor rgb="00F0FDF4"/>
      </patternFill>
    </fill>
    <fill>
      <patternFill patternType="solid">
        <fgColor rgb="00FFF7ED"/>
      </patternFill>
    </fill>
    <fill>
      <patternFill patternType="solid">
        <fgColor rgb="0016A34A"/>
      </patternFill>
    </fill>
    <fill>
      <patternFill patternType="solid">
        <fgColor rgb="00BBF7D0"/>
      </patternFill>
    </fill>
  </fills>
  <borders count="7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DE047"/>
      </left>
      <right style="thin">
        <color rgb="00FDE047"/>
      </right>
      <top style="thin">
        <color rgb="00FDE047"/>
      </top>
      <bottom style="medium">
        <color rgb="00D97706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right" vertical="center" readingOrder="2"/>
    </xf>
    <xf numFmtId="0" fontId="2" fillId="3" borderId="1" applyAlignment="1" pivotButton="0" quotePrefix="0" xfId="0">
      <alignment horizontal="right" vertical="center" readingOrder="2"/>
    </xf>
    <xf numFmtId="0" fontId="3" fillId="3" borderId="1" applyAlignment="1" pivotButton="0" quotePrefix="0" xfId="0">
      <alignment horizontal="right" vertical="center" readingOrder="2"/>
    </xf>
    <xf numFmtId="164" fontId="5" fillId="5" borderId="2" applyAlignment="1" pivotButton="0" quotePrefix="0" xfId="0">
      <alignment horizontal="right" vertical="center" readingOrder="2"/>
    </xf>
    <xf numFmtId="0" fontId="4" fillId="4" borderId="1" applyAlignment="1" pivotButton="0" quotePrefix="0" xfId="0">
      <alignment horizontal="right" vertical="center" readingOrder="2"/>
    </xf>
    <xf numFmtId="3" fontId="5" fillId="5" borderId="2" applyAlignment="1" pivotButton="0" quotePrefix="0" xfId="0">
      <alignment horizontal="right" vertical="center" readingOrder="2"/>
    </xf>
    <xf numFmtId="0" fontId="6" fillId="6" borderId="1" applyAlignment="1" pivotButton="0" quotePrefix="0" xfId="0">
      <alignment horizontal="right" vertical="center" readingOrder="2"/>
    </xf>
    <xf numFmtId="0" fontId="13" fillId="13" borderId="1" applyAlignment="1" pivotButton="0" quotePrefix="0" xfId="0">
      <alignment horizontal="right" vertical="center" readingOrder="2"/>
    </xf>
    <xf numFmtId="0" fontId="14" fillId="3" borderId="1" applyAlignment="1" pivotButton="0" quotePrefix="0" xfId="0">
      <alignment horizontal="right" vertical="center" readingOrder="2"/>
    </xf>
    <xf numFmtId="164" fontId="3" fillId="14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3" fontId="3" fillId="14" borderId="1" applyAlignment="1" pivotButton="0" quotePrefix="0" xfId="0">
      <alignment horizontal="right" vertical="center" readingOrder="2"/>
    </xf>
    <xf numFmtId="0" fontId="13" fillId="7" borderId="1" applyAlignment="1" pivotButton="0" quotePrefix="0" xfId="0">
      <alignment horizontal="right" vertical="center" readingOrder="2"/>
    </xf>
    <xf numFmtId="0" fontId="9" fillId="15" borderId="1" applyAlignment="1" pivotButton="0" quotePrefix="0" xfId="0">
      <alignment horizontal="right" vertical="center" readingOrder="2"/>
    </xf>
    <xf numFmtId="165" fontId="9" fillId="15" borderId="1" applyAlignment="1" pivotButton="0" quotePrefix="0" xfId="0">
      <alignment horizontal="right" vertical="center" readingOrder="2"/>
    </xf>
    <xf numFmtId="165" fontId="9" fillId="3" borderId="1" applyAlignment="1" pivotButton="0" quotePrefix="0" xfId="0">
      <alignment horizontal="right" vertical="center" readingOrder="2"/>
    </xf>
    <xf numFmtId="0" fontId="9" fillId="10" borderId="1" applyAlignment="1" pivotButton="0" quotePrefix="0" xfId="0">
      <alignment horizontal="right" vertical="center" readingOrder="2"/>
    </xf>
    <xf numFmtId="165" fontId="9" fillId="10" borderId="1" applyAlignment="1" pivotButton="0" quotePrefix="0" xfId="0">
      <alignment horizontal="right" vertical="center" readingOrder="2"/>
    </xf>
    <xf numFmtId="0" fontId="9" fillId="12" borderId="1" applyAlignment="1" pivotButton="0" quotePrefix="0" xfId="0">
      <alignment horizontal="right" vertical="center" readingOrder="2"/>
    </xf>
    <xf numFmtId="165" fontId="9" fillId="12" borderId="1" applyAlignment="1" pivotButton="0" quotePrefix="0" xfId="0">
      <alignment horizontal="right" vertical="center" readingOrder="2"/>
    </xf>
    <xf numFmtId="0" fontId="15" fillId="8" borderId="1" applyAlignment="1" pivotButton="0" quotePrefix="0" xfId="0">
      <alignment horizontal="right" vertical="center" readingOrder="2"/>
    </xf>
    <xf numFmtId="165" fontId="3" fillId="8" borderId="1" applyAlignment="1" pivotButton="0" quotePrefix="0" xfId="0">
      <alignment horizontal="right" vertical="center" readingOrder="2"/>
    </xf>
    <xf numFmtId="0" fontId="9" fillId="8" borderId="1" applyAlignment="1" pivotButton="0" quotePrefix="0" xfId="0">
      <alignment horizontal="right" vertical="center" readingOrder="2"/>
    </xf>
    <xf numFmtId="0" fontId="3" fillId="6" borderId="1" applyAlignment="1" pivotButton="0" quotePrefix="0" xfId="0">
      <alignment horizontal="right" vertical="center" readingOrder="2"/>
    </xf>
    <xf numFmtId="165" fontId="3" fillId="6" borderId="1" applyAlignment="1" pivotButton="0" quotePrefix="0" xfId="0">
      <alignment horizontal="right" vertical="center" readingOrder="2"/>
    </xf>
    <xf numFmtId="0" fontId="9" fillId="6" borderId="1" applyAlignment="1" pivotButton="0" quotePrefix="0" xfId="0">
      <alignment horizontal="right" vertical="center" readingOrder="2"/>
    </xf>
    <xf numFmtId="0" fontId="3" fillId="12" borderId="1" applyAlignment="1" pivotButton="0" quotePrefix="0" xfId="0">
      <alignment horizontal="right" vertical="center" readingOrder="2"/>
    </xf>
    <xf numFmtId="164" fontId="3" fillId="12" borderId="1" applyAlignment="1" pivotButton="0" quotePrefix="0" xfId="0">
      <alignment horizontal="right" vertical="center" readingOrder="2"/>
    </xf>
    <xf numFmtId="0" fontId="3" fillId="10" borderId="1" applyAlignment="1" pivotButton="0" quotePrefix="0" xfId="0">
      <alignment horizontal="right" vertical="center" readingOrder="2"/>
    </xf>
    <xf numFmtId="165" fontId="3" fillId="10" borderId="1" applyAlignment="1" pivotButton="0" quotePrefix="0" xfId="0">
      <alignment horizontal="right" vertical="center" readingOrder="2"/>
    </xf>
    <xf numFmtId="0" fontId="13" fillId="2" borderId="1" applyAlignment="1" pivotButton="0" quotePrefix="0" xfId="0">
      <alignment horizontal="right" vertical="center" readingOrder="2"/>
    </xf>
    <xf numFmtId="0" fontId="13" fillId="16" borderId="1" applyAlignment="1" pivotButton="0" quotePrefix="0" xfId="0">
      <alignment horizontal="right" vertical="center" readingOrder="2"/>
    </xf>
    <xf numFmtId="165" fontId="17" fillId="17" borderId="1" applyAlignment="1" pivotButton="0" quotePrefix="0" xfId="0">
      <alignment horizontal="right" vertical="center" readingOrder="2"/>
    </xf>
    <xf numFmtId="0" fontId="9" fillId="17" borderId="1" applyAlignment="1" pivotButton="0" quotePrefix="0" xfId="0">
      <alignment horizontal="right" vertical="center" readingOrder="2"/>
    </xf>
    <xf numFmtId="0" fontId="7" fillId="2" borderId="1" applyAlignment="1" pivotButton="0" quotePrefix="0" xfId="0">
      <alignment horizontal="right" vertical="center" readingOrder="2"/>
    </xf>
    <xf numFmtId="0" fontId="8" fillId="2" borderId="1" applyAlignment="1" pivotButton="0" quotePrefix="0" xfId="0">
      <alignment horizontal="right" vertical="center" readingOrder="2"/>
    </xf>
    <xf numFmtId="0" fontId="9" fillId="4" borderId="1" applyAlignment="1" pivotButton="0" quotePrefix="0" xfId="0">
      <alignment horizontal="right" vertical="center" readingOrder="2"/>
    </xf>
    <xf numFmtId="165" fontId="5" fillId="5" borderId="2" applyAlignment="1" pivotButton="0" quotePrefix="0" xfId="0">
      <alignment horizontal="right" vertical="center" readingOrder="2"/>
    </xf>
    <xf numFmtId="0" fontId="8" fillId="7" borderId="1" applyAlignment="1" pivotButton="0" quotePrefix="0" xfId="0">
      <alignment horizontal="right" vertical="center" readingOrder="2"/>
    </xf>
    <xf numFmtId="165" fontId="10" fillId="8" borderId="1" applyAlignment="1" pivotButton="0" quotePrefix="0" xfId="0">
      <alignment horizontal="right" vertical="center" readingOrder="2"/>
    </xf>
    <xf numFmtId="0" fontId="12" fillId="3" borderId="1" applyAlignment="1" pivotButton="0" quotePrefix="0" xfId="0">
      <alignment horizontal="right" vertical="center" wrapText="1" readingOrder="2"/>
    </xf>
    <xf numFmtId="0" fontId="5" fillId="5" borderId="2" applyAlignment="1" pivotButton="0" quotePrefix="0" xfId="0">
      <alignment horizontal="right" vertical="center" readingOrder="2"/>
    </xf>
    <xf numFmtId="4" fontId="5" fillId="5" borderId="2" applyAlignment="1" pivotButton="0" quotePrefix="0" xfId="0">
      <alignment horizontal="right" vertical="center" readingOrder="2"/>
    </xf>
    <xf numFmtId="0" fontId="11" fillId="7" borderId="1" applyAlignment="1" pivotButton="0" quotePrefix="0" xfId="0">
      <alignment horizontal="right" vertical="center" readingOrder="2"/>
    </xf>
    <xf numFmtId="0" fontId="0" fillId="0" borderId="5" pivotButton="0" quotePrefix="0" xfId="0"/>
    <xf numFmtId="0" fontId="0" fillId="0" borderId="6" pivotButton="0" quotePrefix="0" xfId="0"/>
    <xf numFmtId="0" fontId="11" fillId="11" borderId="1" applyAlignment="1" pivotButton="0" quotePrefix="0" xfId="0">
      <alignment horizontal="right" vertical="center" readingOrder="2"/>
    </xf>
    <xf numFmtId="0" fontId="11" fillId="9" borderId="1" applyAlignment="1" pivotButton="0" quotePrefix="0" xfId="0">
      <alignment horizontal="right" vertical="center" readingOrder="2"/>
    </xf>
    <xf numFmtId="0" fontId="18" fillId="7" borderId="1" applyAlignment="1" pivotButton="0" quotePrefix="0" xfId="0">
      <alignment horizontal="right" vertical="center" readingOrder="2"/>
    </xf>
    <xf numFmtId="0" fontId="11" fillId="13" borderId="1" applyAlignment="1" pivotButton="0" quotePrefix="0" xfId="0">
      <alignment horizontal="right" vertical="center" readingOrder="2"/>
    </xf>
    <xf numFmtId="166" fontId="5" fillId="5" borderId="2" applyAlignment="1" pivotButton="0" quotePrefix="0" xfId="0">
      <alignment horizontal="right" vertical="center" readingOrder="2"/>
    </xf>
    <xf numFmtId="0" fontId="4" fillId="3" borderId="1" applyAlignment="1" pivotButton="0" quotePrefix="0" xfId="0">
      <alignment horizontal="right" vertical="center" readingOrder="2"/>
    </xf>
    <xf numFmtId="0" fontId="19" fillId="6" borderId="1" applyAlignment="1" pivotButton="0" quotePrefix="0" xfId="0">
      <alignment horizontal="right" vertical="center" readingOrder="2"/>
    </xf>
    <xf numFmtId="0" fontId="20" fillId="3" borderId="1" applyAlignment="1" pivotButton="0" quotePrefix="0" xfId="0">
      <alignment horizontal="right" vertical="center" readingOrder="2"/>
    </xf>
    <xf numFmtId="0" fontId="15" fillId="15" borderId="1" applyAlignment="1" pivotButton="0" quotePrefix="0" xfId="0">
      <alignment horizontal="right" vertical="center" readingOrder="2"/>
    </xf>
    <xf numFmtId="165" fontId="15" fillId="15" borderId="1" applyAlignment="1" pivotButton="0" quotePrefix="0" xfId="0">
      <alignment horizontal="right" vertical="center" readingOrder="2"/>
    </xf>
    <xf numFmtId="0" fontId="16" fillId="14" borderId="1" applyAlignment="1" pivotButton="0" quotePrefix="0" xfId="0">
      <alignment horizontal="right" vertical="center" readingOrder="2"/>
    </xf>
    <xf numFmtId="165" fontId="16" fillId="17" borderId="1" applyAlignment="1" pivotButton="0" quotePrefix="0" xfId="0">
      <alignment horizontal="right" vertical="center" readingOrder="2"/>
    </xf>
    <xf numFmtId="0" fontId="21" fillId="14" borderId="1" applyAlignment="1" pivotButton="0" quotePrefix="0" xfId="0">
      <alignment horizontal="right" vertical="center" readingOrder="2"/>
    </xf>
    <xf numFmtId="0" fontId="3" fillId="5" borderId="1" applyAlignment="1" pivotButton="0" quotePrefix="0" xfId="0">
      <alignment horizontal="right" vertical="center" readingOrder="2"/>
    </xf>
    <xf numFmtId="0" fontId="22" fillId="6" borderId="1" applyAlignment="1" pivotButton="0" quotePrefix="0" xfId="0">
      <alignment horizontal="right" vertical="center" readingOrder="2"/>
    </xf>
    <xf numFmtId="0" fontId="9" fillId="3" borderId="1" applyAlignment="1" pivotButton="0" quotePrefix="0" xfId="0">
      <alignment horizontal="right" vertical="center" readingOrder="2"/>
    </xf>
    <xf numFmtId="164" fontId="3" fillId="10" borderId="1" applyAlignment="1" pivotButton="0" quotePrefix="0" xfId="0">
      <alignment horizontal="right" vertical="center" readingOrder="2"/>
    </xf>
    <xf numFmtId="167" fontId="3" fillId="10" borderId="1" applyAlignment="1" pivotButton="0" quotePrefix="0" xfId="0">
      <alignment horizontal="right" vertical="center" readingOrder="2"/>
    </xf>
    <xf numFmtId="0" fontId="9" fillId="4" borderId="0" applyAlignment="1" pivotButton="0" quotePrefix="0" xfId="0">
      <alignment horizontal="right" vertical="center" readingOrder="2"/>
    </xf>
  </cellXfs>
  <cellStyles count="1">
    <cellStyle name="Normal" xfId="0" builtinId="0" hidden="0"/>
  </cellStyles>
  <dxfs count="5">
    <dxf>
      <font>
        <name val="Cairo"/>
        <b val="1"/>
        <color rgb="0016A34A"/>
      </font>
      <fill>
        <patternFill patternType="solid">
          <fgColor rgb="00BBF7D0"/>
        </patternFill>
      </fill>
    </dxf>
    <dxf>
      <font>
        <name val="Cairo"/>
        <b val="1"/>
        <color rgb="00D97706"/>
      </font>
      <fill>
        <patternFill patternType="solid">
          <fgColor rgb="00FDE68A"/>
        </patternFill>
      </fill>
    </dxf>
    <dxf>
      <font>
        <name val="Cairo"/>
        <b val="1"/>
        <color rgb="00DC2626"/>
      </font>
      <fill>
        <patternFill patternType="solid">
          <fgColor rgb="00FECACA"/>
        </patternFill>
      </fill>
    </dxf>
    <dxf>
      <font>
        <name val="Cairo"/>
        <b val="1"/>
        <color rgb="0016A34A"/>
      </font>
      <fill>
        <patternFill patternType="solid">
          <fgColor rgb="00F0FDF4"/>
        </patternFill>
      </fill>
    </dxf>
    <dxf>
      <font>
        <name val="Cairo"/>
        <b val="1"/>
        <color rgb="00DC2626"/>
      </font>
      <fill>
        <patternFill patternType="solid">
          <fgColor rgb="00FE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توزيع المصاريف الشهرية</a:t>
            </a:r>
          </a:p>
        </rich>
      </tx>
    </title>
    <plotArea>
      <pieChart>
        <varyColors val="1"/>
        <ser>
          <idx val="0"/>
          <order val="0"/>
          <tx>
            <strRef>
              <f>'لوحة التحكم'!H27</f>
            </strRef>
          </tx>
          <spPr>
            <a:ln>
              <a:prstDash val="solid"/>
            </a:ln>
          </spPr>
          <cat>
            <numRef>
              <f>'لوحة التحكم'!$G$28:$G$31</f>
            </numRef>
          </cat>
          <val>
            <numRef>
              <f>'لوحة التحكم'!$H$28:$H$31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26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B1:D8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2" customWidth="1" min="2" max="2"/>
    <col width="24" customWidth="1" min="3" max="3"/>
    <col width="36" customWidth="1" min="4" max="4"/>
  </cols>
  <sheetData>
    <row r="1" ht="40" customHeight="1">
      <c r="B1" s="1" t="inlineStr">
        <is>
          <t>⚙️  إعدادات الحاسبة</t>
        </is>
      </c>
    </row>
    <row r="2" ht="24" customHeight="1">
      <c r="B2" s="2" t="inlineStr">
        <is>
          <t>أدخل القيم في الخلايا الصفراء — كل الصيغ في باقي الأوراق تتحدث تلقائياً</t>
        </is>
      </c>
    </row>
    <row r="4" ht="28" customHeight="1">
      <c r="B4" s="3" t="inlineStr">
        <is>
          <t>🎯  هامش الربح المستهدف (%)</t>
        </is>
      </c>
      <c r="C4" s="4" t="n">
        <v>0.3</v>
      </c>
      <c r="D4" s="5" t="inlineStr">
        <is>
          <t>نسبة الربح المطلوبة — يؤثر على أسعار كل المنتجات</t>
        </is>
      </c>
    </row>
    <row r="5" ht="28" customHeight="1">
      <c r="B5" s="3" t="inlineStr">
        <is>
          <t>♻️  نسبة الهدر (%)</t>
        </is>
      </c>
      <c r="C5" s="4" t="n">
        <v>0.05</v>
      </c>
      <c r="D5" s="5" t="inlineStr">
        <is>
          <t>نسبة الفاقد من المواد الخام (5-10% طبيعي)</t>
        </is>
      </c>
    </row>
    <row r="6" ht="28" customHeight="1">
      <c r="B6" s="3" t="inlineStr">
        <is>
          <t>📦  الوحدات المتوقعة شهرياً</t>
        </is>
      </c>
      <c r="C6" s="6" t="n">
        <v>500</v>
      </c>
      <c r="D6" s="5" t="inlineStr">
        <is>
          <t>إجمالي كل الطلبات المتوقعة في الشهر</t>
        </is>
      </c>
    </row>
    <row r="8" ht="26" customHeight="1">
      <c r="B8" s="7" t="inlineStr">
        <is>
          <t>💡  الخلايا الصفراء هي خلايا الإدخال — باقي الخلايا تُحسب تلقائياً</t>
        </is>
      </c>
    </row>
  </sheetData>
  <mergeCells count="3">
    <mergeCell ref="B1:D1"/>
    <mergeCell ref="B8:D8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6A34A"/>
    <outlinePr summaryBelow="1" summaryRight="1"/>
    <pageSetUpPr/>
  </sheetPr>
  <dimension ref="B1:H31"/>
  <sheetViews>
    <sheetView rightToLeft="1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5" customWidth="1" min="2" max="2"/>
    <col width="22" customWidth="1" min="3" max="3"/>
    <col width="22" customWidth="1" min="4" max="4"/>
    <col width="22" customWidth="1" min="5" max="5"/>
  </cols>
  <sheetData>
    <row r="1" ht="42" customHeight="1">
      <c r="B1" s="1" t="inlineStr">
        <is>
          <t>📊  لوحة التحكم — ملخص تكاليف المطعم</t>
        </is>
      </c>
    </row>
    <row r="2" ht="26" customHeight="1">
      <c r="B2" s="7" t="inlineStr">
        <is>
          <t>📌  هذه الورقة تُحسب تلقائياً من باقي الأوراق — غيّر هامش الربح في ورقة "الإعدادات" وسترى الأثر هنا وفي التسعير</t>
        </is>
      </c>
    </row>
    <row r="4" ht="30" customHeight="1">
      <c r="B4" s="8" t="inlineStr">
        <is>
          <t>⚙️  الإعدادات المفعّلة</t>
        </is>
      </c>
    </row>
    <row r="5" ht="26" customHeight="1">
      <c r="B5" s="9" t="inlineStr">
        <is>
          <t>هامش الربح المستهدف</t>
        </is>
      </c>
      <c r="C5" s="10">
        <f>'الإعدادات'!B4</f>
        <v/>
      </c>
      <c r="D5" s="11" t="inlineStr"/>
    </row>
    <row r="6" ht="26" customHeight="1">
      <c r="B6" s="9" t="inlineStr">
        <is>
          <t>نسبة الهدر</t>
        </is>
      </c>
      <c r="C6" s="10">
        <f>'الإعدادات'!B5</f>
        <v/>
      </c>
      <c r="D6" s="11" t="inlineStr"/>
    </row>
    <row r="7" ht="26" customHeight="1">
      <c r="B7" s="9" t="inlineStr">
        <is>
          <t>الوحدات المتوقعة/شهر</t>
        </is>
      </c>
      <c r="C7" s="12">
        <f>'الإعدادات'!B6</f>
        <v/>
      </c>
      <c r="D7" s="11" t="inlineStr"/>
    </row>
    <row r="9" ht="30" customHeight="1">
      <c r="B9" s="13" t="inlineStr">
        <is>
          <t>💰  تفصيل التكاليف</t>
        </is>
      </c>
    </row>
    <row r="10" ht="26" customHeight="1">
      <c r="B10" s="14" t="inlineStr">
        <is>
          <t>🏗️  إجمالي المصاريف التأسيسية</t>
        </is>
      </c>
      <c r="C10" s="15">
        <f>SUM('تأسيسية'!C5:C24)</f>
        <v/>
      </c>
      <c r="D10" s="14" t="inlineStr"/>
    </row>
    <row r="11" ht="26" customHeight="1">
      <c r="B11" s="11" t="inlineStr">
        <is>
          <t>📌  إجمالي المصاريف الثابتة/شهر</t>
        </is>
      </c>
      <c r="C11" s="16">
        <f>SUM('ثابتة'!C5:C24)</f>
        <v/>
      </c>
      <c r="D11" s="11" t="inlineStr"/>
    </row>
    <row r="12" ht="26" customHeight="1">
      <c r="B12" s="17" t="inlineStr">
        <is>
          <t>⚙️  إجمالي المصاريف التشغيلية/شهر</t>
        </is>
      </c>
      <c r="C12" s="18">
        <f>SUM('تشغيلية'!C5:C24)</f>
        <v/>
      </c>
      <c r="D12" s="17" t="inlineStr"/>
    </row>
    <row r="13" ht="26" customHeight="1">
      <c r="B13" s="19" t="inlineStr">
        <is>
          <t>📣  إجمالي الدعاية والإعلان/شهر</t>
        </is>
      </c>
      <c r="C13" s="20">
        <f>SUM('دعاية'!C5:C24)</f>
        <v/>
      </c>
      <c r="D13" s="19" t="inlineStr"/>
    </row>
    <row r="14" ht="26" customHeight="1">
      <c r="B14" s="11" t="inlineStr">
        <is>
          <t>📂  مصاريف أخرى شهرية</t>
        </is>
      </c>
      <c r="C14" s="16">
        <f>SUMIF('أخرى'!D5:D19,"نعم",'أخرى'!C5:C19)</f>
        <v/>
      </c>
      <c r="D14" s="11" t="inlineStr"/>
    </row>
    <row r="15" ht="26" customHeight="1">
      <c r="B15" s="11" t="inlineStr">
        <is>
          <t>📂  مصاريف أخرى لمرة واحدة</t>
        </is>
      </c>
      <c r="C15" s="16">
        <f>SUMIF('أخرى'!D5:D19,"لا",'أخرى'!C5:C19)</f>
        <v/>
      </c>
      <c r="D15" s="11" t="inlineStr"/>
    </row>
    <row r="16" ht="30" customHeight="1">
      <c r="B16" s="21" t="inlineStr">
        <is>
          <t>📅  إجمالي المصاريف الشهرية الكلية</t>
        </is>
      </c>
      <c r="C16" s="22">
        <f>C11+C12+C13+C14</f>
        <v/>
      </c>
      <c r="D16" s="23" t="inlineStr"/>
    </row>
    <row r="17">
      <c r="B17" s="24" t="inlineStr">
        <is>
          <t>📈  التكاليف المتغيرة / طلب واحد</t>
        </is>
      </c>
      <c r="C17" s="25">
        <f>'متغيرة'!G20</f>
        <v/>
      </c>
      <c r="D17" s="26" t="inlineStr"/>
    </row>
    <row r="18">
      <c r="B18" s="27" t="inlineStr">
        <is>
          <t>🛵  نسبة % من الإيراد (متغيرة)</t>
        </is>
      </c>
      <c r="C18" s="28">
        <f>'متغيرة'!G21</f>
        <v/>
      </c>
      <c r="D18" s="19" t="inlineStr"/>
    </row>
    <row r="19" ht="26" customHeight="1">
      <c r="B19" s="29" t="inlineStr">
        <is>
          <t>⚖️  توزيع المصاريف الثابتة / وحدة</t>
        </is>
      </c>
      <c r="C19" s="30">
        <f>IF(الإعدادات!B6&gt;0,C16/الإعدادات!B6,0)</f>
        <v/>
      </c>
      <c r="D19" s="17" t="inlineStr"/>
    </row>
    <row r="21" ht="30" customHeight="1">
      <c r="B21" s="31" t="inlineStr">
        <is>
          <t>💎  رأس المال المطلوب</t>
        </is>
      </c>
    </row>
    <row r="22" ht="26" customHeight="1">
      <c r="B22" s="14" t="inlineStr">
        <is>
          <t>المصاريف التأسيسية</t>
        </is>
      </c>
      <c r="C22" s="15">
        <f>C10</f>
        <v/>
      </c>
      <c r="D22" s="14" t="inlineStr"/>
    </row>
    <row r="23" ht="26" customHeight="1">
      <c r="B23" s="11" t="inlineStr">
        <is>
          <t>مصاريف أخرى لمرة واحدة</t>
        </is>
      </c>
      <c r="C23" s="16">
        <f>C15</f>
        <v/>
      </c>
      <c r="D23" s="11" t="inlineStr"/>
    </row>
    <row r="24" ht="26" customHeight="1">
      <c r="B24" s="17" t="inlineStr">
        <is>
          <t>احتياطي تشغيل (3 أشهر)</t>
        </is>
      </c>
      <c r="C24" s="18">
        <f>C16*3</f>
        <v/>
      </c>
      <c r="D24" s="17" t="inlineStr"/>
    </row>
    <row r="25" ht="36" customHeight="1">
      <c r="B25" s="32" t="inlineStr">
        <is>
          <t>💰  رأس المال الكلي المقدر</t>
        </is>
      </c>
      <c r="C25" s="33">
        <f>C22+C23+C24</f>
        <v/>
      </c>
      <c r="D25" s="34" t="inlineStr"/>
    </row>
    <row r="27">
      <c r="G27" t="inlineStr">
        <is>
          <t>نوع التكلفة</t>
        </is>
      </c>
      <c r="H27" t="inlineStr">
        <is>
          <t>المبلغ</t>
        </is>
      </c>
    </row>
    <row r="28">
      <c r="G28" t="inlineStr">
        <is>
          <t>مصاريف ثابتة</t>
        </is>
      </c>
      <c r="H28">
        <f>C11</f>
        <v/>
      </c>
    </row>
    <row r="29">
      <c r="G29" t="inlineStr">
        <is>
          <t>مصاريف تشغيلية</t>
        </is>
      </c>
      <c r="H29">
        <f>C12</f>
        <v/>
      </c>
    </row>
    <row r="30">
      <c r="G30" t="inlineStr">
        <is>
          <t>دعاية وإعلان</t>
        </is>
      </c>
      <c r="H30">
        <f>C13</f>
        <v/>
      </c>
    </row>
    <row r="31">
      <c r="G31" t="inlineStr">
        <is>
          <t>مصاريف أخرى</t>
        </is>
      </c>
      <c r="H31">
        <f>C14</f>
        <v/>
      </c>
    </row>
  </sheetData>
  <mergeCells count="23">
    <mergeCell ref="B9:E9"/>
    <mergeCell ref="D10:E10"/>
    <mergeCell ref="D19:E19"/>
    <mergeCell ref="D22:E22"/>
    <mergeCell ref="D6:E6"/>
    <mergeCell ref="B4:E4"/>
    <mergeCell ref="D11:E11"/>
    <mergeCell ref="D13:E13"/>
    <mergeCell ref="B25"/>
    <mergeCell ref="D17:E17"/>
    <mergeCell ref="D16:E16"/>
    <mergeCell ref="D7:E7"/>
    <mergeCell ref="B21:E21"/>
    <mergeCell ref="B2:E2"/>
    <mergeCell ref="D18:E18"/>
    <mergeCell ref="D12:E12"/>
    <mergeCell ref="D25:E25"/>
    <mergeCell ref="B1:E1"/>
    <mergeCell ref="D24:E24"/>
    <mergeCell ref="D15:E15"/>
    <mergeCell ref="D5:E5"/>
    <mergeCell ref="D23:E23"/>
    <mergeCell ref="D14:E14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F97316"/>
    <outlinePr summaryBelow="1" summaryRight="1"/>
    <pageSetUpPr/>
  </sheetPr>
  <dimension ref="B1:D2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30" customWidth="1" min="4" max="4"/>
  </cols>
  <sheetData>
    <row r="1" ht="38" customHeight="1">
      <c r="B1" s="35" t="inlineStr">
        <is>
          <t>🏗️  المصاريف التأسيسية</t>
        </is>
      </c>
    </row>
    <row r="2" ht="22" customHeight="1">
      <c r="B2" s="2" t="inlineStr">
        <is>
          <t>تكاليف تُدفع مرة واحدة عند التأسيس (لا تتكرر)</t>
        </is>
      </c>
    </row>
    <row r="4" ht="28" customHeight="1">
      <c r="B4" s="36" t="inlineStr">
        <is>
          <t>البند / الوصف</t>
        </is>
      </c>
      <c r="C4" s="36" t="inlineStr">
        <is>
          <t>المبلغ (ر.س)</t>
        </is>
      </c>
    </row>
    <row r="5" ht="26" customHeight="1">
      <c r="B5" s="37" t="inlineStr">
        <is>
          <t>تجهيز وتصميم المطبخ</t>
        </is>
      </c>
      <c r="C5" s="38" t="n">
        <v>0</v>
      </c>
    </row>
    <row r="6" ht="26" customHeight="1">
      <c r="B6" s="11" t="inlineStr">
        <is>
          <t>الأثاث والديكور</t>
        </is>
      </c>
      <c r="C6" s="38" t="n">
        <v>0</v>
      </c>
    </row>
    <row r="7" ht="26" customHeight="1">
      <c r="B7" s="37" t="inlineStr">
        <is>
          <t>الأجهزة والمعدات</t>
        </is>
      </c>
      <c r="C7" s="38" t="n">
        <v>0</v>
      </c>
    </row>
    <row r="8" ht="26" customHeight="1">
      <c r="B8" s="11" t="inlineStr">
        <is>
          <t>رسوم الترخيص والسجل التجاري</t>
        </is>
      </c>
      <c r="C8" s="38" t="n">
        <v>0</v>
      </c>
    </row>
    <row r="9" ht="26" customHeight="1">
      <c r="B9" s="37" t="inlineStr">
        <is>
          <t>تجهيز نظام نقاط البيع (POS)</t>
        </is>
      </c>
      <c r="C9" s="38" t="n">
        <v>0</v>
      </c>
    </row>
    <row r="10" ht="26" customHeight="1">
      <c r="B10" s="11" t="inlineStr">
        <is>
          <t>مخزون أولي للمواد الخام</t>
        </is>
      </c>
      <c r="C10" s="38" t="n">
        <v>0</v>
      </c>
    </row>
    <row r="11" ht="26" customHeight="1">
      <c r="B11" s="37" t="inlineStr">
        <is>
          <t>صيانة وتجهيز المبنى</t>
        </is>
      </c>
      <c r="C11" s="38" t="n">
        <v>0</v>
      </c>
    </row>
    <row r="12" ht="24" customHeight="1">
      <c r="B12" s="11" t="inlineStr"/>
      <c r="C12" s="38" t="n">
        <v>0</v>
      </c>
    </row>
    <row r="13" ht="24" customHeight="1">
      <c r="B13" s="37" t="inlineStr"/>
      <c r="C13" s="38" t="n">
        <v>0</v>
      </c>
    </row>
    <row r="14" ht="24" customHeight="1">
      <c r="B14" s="11" t="inlineStr"/>
      <c r="C14" s="38" t="n">
        <v>0</v>
      </c>
    </row>
    <row r="15" ht="24" customHeight="1">
      <c r="B15" s="37" t="inlineStr"/>
      <c r="C15" s="38" t="n">
        <v>0</v>
      </c>
    </row>
    <row r="16" ht="24" customHeight="1">
      <c r="B16" s="11" t="inlineStr"/>
      <c r="C16" s="38" t="n">
        <v>0</v>
      </c>
    </row>
    <row r="17" ht="24" customHeight="1">
      <c r="B17" s="37" t="inlineStr"/>
      <c r="C17" s="38" t="n">
        <v>0</v>
      </c>
    </row>
    <row r="18" ht="24" customHeight="1">
      <c r="B18" s="11" t="inlineStr"/>
      <c r="C18" s="38" t="n">
        <v>0</v>
      </c>
    </row>
    <row r="19" ht="24" customHeight="1">
      <c r="B19" s="37" t="inlineStr"/>
      <c r="C19" s="38" t="n">
        <v>0</v>
      </c>
    </row>
    <row r="20" ht="24" customHeight="1">
      <c r="B20" s="11" t="inlineStr"/>
      <c r="C20" s="38" t="n">
        <v>0</v>
      </c>
    </row>
    <row r="21" ht="24" customHeight="1">
      <c r="B21" s="37" t="inlineStr"/>
      <c r="C21" s="38" t="n">
        <v>0</v>
      </c>
    </row>
    <row r="22" ht="24" customHeight="1">
      <c r="B22" s="11" t="inlineStr"/>
      <c r="C22" s="38" t="n">
        <v>0</v>
      </c>
    </row>
    <row r="23" ht="24" customHeight="1">
      <c r="B23" s="37" t="inlineStr"/>
      <c r="C23" s="38" t="n">
        <v>0</v>
      </c>
    </row>
    <row r="24" ht="24" customHeight="1">
      <c r="B24" s="11" t="inlineStr"/>
      <c r="C24" s="38" t="n">
        <v>0</v>
      </c>
    </row>
    <row r="25" ht="30" customHeight="1">
      <c r="B25" s="39" t="inlineStr">
        <is>
          <t>الإجمالي</t>
        </is>
      </c>
      <c r="C25" s="40">
        <f>SUM(C5:C24)</f>
        <v/>
      </c>
    </row>
  </sheetData>
  <mergeCells count="3">
    <mergeCell ref="B1:D1"/>
    <mergeCell ref="B2:D2"/>
    <mergeCell ref="B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82F6"/>
    <outlinePr summaryBelow="1" summaryRight="1"/>
    <pageSetUpPr/>
  </sheetPr>
  <dimension ref="B1:D2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30" customWidth="1" min="4" max="4"/>
  </cols>
  <sheetData>
    <row r="1" ht="38" customHeight="1">
      <c r="B1" s="35" t="inlineStr">
        <is>
          <t>⚙️  المصاريف التشغيلية</t>
        </is>
      </c>
    </row>
    <row r="2" ht="22" customHeight="1">
      <c r="B2" s="2" t="inlineStr">
        <is>
          <t>تكاليف شهرية متكررة تتعلق بتشغيل المطعم</t>
        </is>
      </c>
    </row>
    <row r="4" ht="28" customHeight="1">
      <c r="B4" s="36" t="inlineStr">
        <is>
          <t>البند / الوصف</t>
        </is>
      </c>
      <c r="C4" s="36" t="inlineStr">
        <is>
          <t>المبلغ (ر.س)</t>
        </is>
      </c>
      <c r="D4" s="36" t="inlineStr">
        <is>
          <t>ملاحظات</t>
        </is>
      </c>
    </row>
    <row r="5" ht="26" customHeight="1">
      <c r="B5" s="37" t="inlineStr">
        <is>
          <t>الكهرباء والمياه</t>
        </is>
      </c>
      <c r="C5" s="38" t="n">
        <v>0</v>
      </c>
      <c r="D5" s="37" t="inlineStr"/>
    </row>
    <row r="6" ht="26" customHeight="1">
      <c r="B6" s="11" t="inlineStr">
        <is>
          <t>الصيانة الدورية</t>
        </is>
      </c>
      <c r="C6" s="38" t="n">
        <v>0</v>
      </c>
      <c r="D6" s="11" t="inlineStr"/>
    </row>
    <row r="7" ht="26" customHeight="1">
      <c r="B7" s="37" t="inlineStr">
        <is>
          <t>الاشتراكات والبرمجيات</t>
        </is>
      </c>
      <c r="C7" s="38" t="n">
        <v>0</v>
      </c>
      <c r="D7" s="37" t="inlineStr"/>
    </row>
    <row r="8" ht="26" customHeight="1">
      <c r="B8" s="11" t="inlineStr">
        <is>
          <t>تجديد المواد الاستهلاكية</t>
        </is>
      </c>
      <c r="C8" s="38" t="n">
        <v>0</v>
      </c>
      <c r="D8" s="11" t="inlineStr"/>
    </row>
    <row r="9" ht="26" customHeight="1">
      <c r="B9" s="37" t="inlineStr">
        <is>
          <t>نفقات متنوعة</t>
        </is>
      </c>
      <c r="C9" s="38" t="n">
        <v>0</v>
      </c>
      <c r="D9" s="37" t="inlineStr"/>
    </row>
    <row r="10" ht="24" customHeight="1">
      <c r="B10" s="11" t="inlineStr"/>
      <c r="C10" s="38" t="n">
        <v>0</v>
      </c>
      <c r="D10" s="11" t="inlineStr"/>
    </row>
    <row r="11" ht="24" customHeight="1">
      <c r="B11" s="37" t="inlineStr"/>
      <c r="C11" s="38" t="n">
        <v>0</v>
      </c>
      <c r="D11" s="37" t="inlineStr"/>
    </row>
    <row r="12" ht="24" customHeight="1">
      <c r="B12" s="11" t="inlineStr"/>
      <c r="C12" s="38" t="n">
        <v>0</v>
      </c>
      <c r="D12" s="11" t="inlineStr"/>
    </row>
    <row r="13" ht="24" customHeight="1">
      <c r="B13" s="37" t="inlineStr"/>
      <c r="C13" s="38" t="n">
        <v>0</v>
      </c>
      <c r="D13" s="37" t="inlineStr"/>
    </row>
    <row r="14" ht="24" customHeight="1">
      <c r="B14" s="11" t="inlineStr"/>
      <c r="C14" s="38" t="n">
        <v>0</v>
      </c>
      <c r="D14" s="11" t="inlineStr"/>
    </row>
    <row r="15" ht="24" customHeight="1">
      <c r="B15" s="37" t="inlineStr"/>
      <c r="C15" s="38" t="n">
        <v>0</v>
      </c>
      <c r="D15" s="37" t="inlineStr"/>
    </row>
    <row r="16" ht="24" customHeight="1">
      <c r="B16" s="11" t="inlineStr"/>
      <c r="C16" s="38" t="n">
        <v>0</v>
      </c>
      <c r="D16" s="11" t="inlineStr"/>
    </row>
    <row r="17" ht="24" customHeight="1">
      <c r="B17" s="37" t="inlineStr"/>
      <c r="C17" s="38" t="n">
        <v>0</v>
      </c>
      <c r="D17" s="37" t="inlineStr"/>
    </row>
    <row r="18" ht="24" customHeight="1">
      <c r="B18" s="11" t="inlineStr"/>
      <c r="C18" s="38" t="n">
        <v>0</v>
      </c>
      <c r="D18" s="11" t="inlineStr"/>
    </row>
    <row r="19" ht="24" customHeight="1">
      <c r="B19" s="37" t="inlineStr"/>
      <c r="C19" s="38" t="n">
        <v>0</v>
      </c>
      <c r="D19" s="37" t="inlineStr"/>
    </row>
    <row r="20" ht="24" customHeight="1">
      <c r="B20" s="11" t="inlineStr"/>
      <c r="C20" s="38" t="n">
        <v>0</v>
      </c>
      <c r="D20" s="11" t="inlineStr"/>
    </row>
    <row r="21" ht="24" customHeight="1">
      <c r="B21" s="37" t="inlineStr"/>
      <c r="C21" s="38" t="n">
        <v>0</v>
      </c>
      <c r="D21" s="37" t="inlineStr"/>
    </row>
    <row r="22" ht="24" customHeight="1">
      <c r="B22" s="11" t="inlineStr"/>
      <c r="C22" s="38" t="n">
        <v>0</v>
      </c>
      <c r="D22" s="11" t="inlineStr"/>
    </row>
    <row r="23" ht="24" customHeight="1">
      <c r="B23" s="37" t="inlineStr"/>
      <c r="C23" s="38" t="n">
        <v>0</v>
      </c>
      <c r="D23" s="37" t="inlineStr"/>
    </row>
    <row r="24" ht="24" customHeight="1">
      <c r="B24" s="11" t="inlineStr"/>
      <c r="C24" s="38" t="n">
        <v>0</v>
      </c>
      <c r="D24" s="11" t="inlineStr"/>
    </row>
    <row r="25" ht="30" customHeight="1">
      <c r="B25" s="39" t="inlineStr">
        <is>
          <t>المجموع الشهري</t>
        </is>
      </c>
      <c r="C25" s="40">
        <f>SUM(C5:C24)</f>
        <v/>
      </c>
      <c r="D25" s="23" t="inlineStr"/>
    </row>
  </sheetData>
  <mergeCells count="3">
    <mergeCell ref="B1:D1"/>
    <mergeCell ref="B2:D2"/>
    <mergeCell ref="B2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C4899"/>
    <outlinePr summaryBelow="1" summaryRight="1"/>
    <pageSetUpPr/>
  </sheetPr>
  <dimension ref="B1:D2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30" customWidth="1" min="4" max="4"/>
  </cols>
  <sheetData>
    <row r="1" ht="38" customHeight="1">
      <c r="B1" s="35" t="inlineStr">
        <is>
          <t>📌  المصاريف الثابتة</t>
        </is>
      </c>
    </row>
    <row r="2" ht="22" customHeight="1">
      <c r="B2" s="2" t="inlineStr">
        <is>
          <t>لا تتغير بتغير المبيعات: إيجار، رواتب، أقساط</t>
        </is>
      </c>
    </row>
    <row r="4" ht="28" customHeight="1">
      <c r="B4" s="36" t="inlineStr">
        <is>
          <t>البند / الوصف</t>
        </is>
      </c>
      <c r="C4" s="36" t="inlineStr">
        <is>
          <t>المبلغ (ر.س)</t>
        </is>
      </c>
      <c r="D4" s="36" t="inlineStr">
        <is>
          <t>ملاحظات</t>
        </is>
      </c>
    </row>
    <row r="5" ht="26" customHeight="1">
      <c r="B5" s="37" t="inlineStr">
        <is>
          <t>الإيجار الشهري</t>
        </is>
      </c>
      <c r="C5" s="38" t="n">
        <v>0</v>
      </c>
      <c r="D5" s="37" t="inlineStr"/>
    </row>
    <row r="6" ht="26" customHeight="1">
      <c r="B6" s="11" t="inlineStr">
        <is>
          <t>رواتب الموظفين</t>
        </is>
      </c>
      <c r="C6" s="38" t="n">
        <v>0</v>
      </c>
      <c r="D6" s="11" t="inlineStr"/>
    </row>
    <row r="7" ht="26" customHeight="1">
      <c r="B7" s="37" t="inlineStr">
        <is>
          <t>رواتب الإدارة</t>
        </is>
      </c>
      <c r="C7" s="38" t="n">
        <v>0</v>
      </c>
      <c r="D7" s="37" t="inlineStr"/>
    </row>
    <row r="8" ht="26" customHeight="1">
      <c r="B8" s="11" t="inlineStr">
        <is>
          <t>التأمينات الاجتماعية</t>
        </is>
      </c>
      <c r="C8" s="38" t="n">
        <v>0</v>
      </c>
      <c r="D8" s="11" t="inlineStr"/>
    </row>
    <row r="9" ht="26" customHeight="1">
      <c r="B9" s="37" t="inlineStr">
        <is>
          <t>قسط قرض أو تمويل</t>
        </is>
      </c>
      <c r="C9" s="38" t="n">
        <v>0</v>
      </c>
      <c r="D9" s="37" t="inlineStr"/>
    </row>
    <row r="10" ht="26" customHeight="1">
      <c r="B10" s="11" t="inlineStr">
        <is>
          <t>رسوم ثابتة أخرى</t>
        </is>
      </c>
      <c r="C10" s="38" t="n">
        <v>0</v>
      </c>
      <c r="D10" s="11" t="inlineStr"/>
    </row>
    <row r="11" ht="24" customHeight="1">
      <c r="B11" s="37" t="inlineStr"/>
      <c r="C11" s="38" t="n">
        <v>0</v>
      </c>
      <c r="D11" s="37" t="inlineStr"/>
    </row>
    <row r="12" ht="24" customHeight="1">
      <c r="B12" s="11" t="inlineStr"/>
      <c r="C12" s="38" t="n">
        <v>0</v>
      </c>
      <c r="D12" s="11" t="inlineStr"/>
    </row>
    <row r="13" ht="24" customHeight="1">
      <c r="B13" s="37" t="inlineStr"/>
      <c r="C13" s="38" t="n">
        <v>0</v>
      </c>
      <c r="D13" s="37" t="inlineStr"/>
    </row>
    <row r="14" ht="24" customHeight="1">
      <c r="B14" s="11" t="inlineStr"/>
      <c r="C14" s="38" t="n">
        <v>0</v>
      </c>
      <c r="D14" s="11" t="inlineStr"/>
    </row>
    <row r="15" ht="24" customHeight="1">
      <c r="B15" s="37" t="inlineStr"/>
      <c r="C15" s="38" t="n">
        <v>0</v>
      </c>
      <c r="D15" s="37" t="inlineStr"/>
    </row>
    <row r="16" ht="24" customHeight="1">
      <c r="B16" s="11" t="inlineStr"/>
      <c r="C16" s="38" t="n">
        <v>0</v>
      </c>
      <c r="D16" s="11" t="inlineStr"/>
    </row>
    <row r="17" ht="24" customHeight="1">
      <c r="B17" s="37" t="inlineStr"/>
      <c r="C17" s="38" t="n">
        <v>0</v>
      </c>
      <c r="D17" s="37" t="inlineStr"/>
    </row>
    <row r="18" ht="24" customHeight="1">
      <c r="B18" s="11" t="inlineStr"/>
      <c r="C18" s="38" t="n">
        <v>0</v>
      </c>
      <c r="D18" s="11" t="inlineStr"/>
    </row>
    <row r="19" ht="24" customHeight="1">
      <c r="B19" s="37" t="inlineStr"/>
      <c r="C19" s="38" t="n">
        <v>0</v>
      </c>
      <c r="D19" s="37" t="inlineStr"/>
    </row>
    <row r="20" ht="24" customHeight="1">
      <c r="B20" s="11" t="inlineStr"/>
      <c r="C20" s="38" t="n">
        <v>0</v>
      </c>
      <c r="D20" s="11" t="inlineStr"/>
    </row>
    <row r="21" ht="24" customHeight="1">
      <c r="B21" s="37" t="inlineStr"/>
      <c r="C21" s="38" t="n">
        <v>0</v>
      </c>
      <c r="D21" s="37" t="inlineStr"/>
    </row>
    <row r="22" ht="24" customHeight="1">
      <c r="B22" s="11" t="inlineStr"/>
      <c r="C22" s="38" t="n">
        <v>0</v>
      </c>
      <c r="D22" s="11" t="inlineStr"/>
    </row>
    <row r="23" ht="24" customHeight="1">
      <c r="B23" s="37" t="inlineStr"/>
      <c r="C23" s="38" t="n">
        <v>0</v>
      </c>
      <c r="D23" s="37" t="inlineStr"/>
    </row>
    <row r="24" ht="24" customHeight="1">
      <c r="B24" s="11" t="inlineStr"/>
      <c r="C24" s="38" t="n">
        <v>0</v>
      </c>
      <c r="D24" s="11" t="inlineStr"/>
    </row>
    <row r="25" ht="30" customHeight="1">
      <c r="B25" s="39" t="inlineStr">
        <is>
          <t>المجموع الشهري</t>
        </is>
      </c>
      <c r="C25" s="40">
        <f>SUM(C5:C24)</f>
        <v/>
      </c>
      <c r="D25" s="23" t="inlineStr"/>
    </row>
  </sheetData>
  <mergeCells count="3">
    <mergeCell ref="B1:D1"/>
    <mergeCell ref="B2:D2"/>
    <mergeCell ref="B2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59E0B"/>
    <outlinePr summaryBelow="1" summaryRight="1"/>
    <pageSetUpPr/>
  </sheetPr>
  <dimension ref="B1:G21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0" customWidth="1" min="3" max="3"/>
    <col width="18" customWidth="1" min="4" max="4"/>
    <col width="14" customWidth="1" min="5" max="5"/>
    <col width="20" customWidth="1" min="6" max="6"/>
    <col width="18" customWidth="1" min="7" max="7"/>
  </cols>
  <sheetData>
    <row r="1" ht="38" customHeight="1">
      <c r="B1" s="35" t="inlineStr">
        <is>
          <t>📈  التكاليف المتغيرة</t>
        </is>
      </c>
    </row>
    <row r="2" ht="32" customHeight="1">
      <c r="B2" s="41" t="inlineStr">
        <is>
          <t>تكاليف تتغير مع حجم الطلبات — كل بند يؤثر مباشرة على الحد الأدنى لسعر البيع. نوع الحساب: "لكل طلب" أو "لكل X طلب" أو "% من الإيراد"</t>
        </is>
      </c>
    </row>
    <row r="4" ht="28" customHeight="1">
      <c r="B4" s="36" t="inlineStr">
        <is>
          <t>البند</t>
        </is>
      </c>
      <c r="C4" s="36" t="inlineStr">
        <is>
          <t>نوع الحساب</t>
        </is>
      </c>
      <c r="D4" s="36" t="inlineStr">
        <is>
          <t>التكلفة / المبلغ</t>
        </is>
      </c>
      <c r="E4" s="36" t="inlineStr">
        <is>
          <t>لكل X طلب</t>
        </is>
      </c>
      <c r="F4" s="36" t="inlineStr">
        <is>
          <t>% من الإيراد</t>
        </is>
      </c>
      <c r="G4" s="36" t="inlineStr">
        <is>
          <t>التكلفة/وحدة</t>
        </is>
      </c>
    </row>
    <row r="5" ht="26" customHeight="1">
      <c r="B5" s="37" t="inlineStr">
        <is>
          <t>تغليف وأكياس</t>
        </is>
      </c>
      <c r="C5" s="42" t="inlineStr">
        <is>
          <t>لكل طلب</t>
        </is>
      </c>
      <c r="D5" s="43" t="n">
        <v>0</v>
      </c>
      <c r="E5" s="6" t="n">
        <v>1</v>
      </c>
      <c r="F5" s="4" t="n">
        <v>0</v>
      </c>
      <c r="G5" s="18">
        <f>IF(C5="لكل طلب",D5,IF(C5="لكل X طلب",IF(E5&gt;0,D5/E5,0),0))</f>
        <v/>
      </c>
    </row>
    <row r="6" ht="26" customHeight="1">
      <c r="B6" s="11" t="inlineStr">
        <is>
          <t>أدوات أكل ومناديل</t>
        </is>
      </c>
      <c r="C6" s="42" t="inlineStr">
        <is>
          <t>لكل طلب</t>
        </is>
      </c>
      <c r="D6" s="43" t="n">
        <v>0</v>
      </c>
      <c r="E6" s="6" t="n">
        <v>1</v>
      </c>
      <c r="F6" s="4" t="n">
        <v>0</v>
      </c>
      <c r="G6" s="18">
        <f>IF(C6="لكل طلب",D6,IF(C6="لكل X طلب",IF(E6&gt;0,D6/E6,0),0))</f>
        <v/>
      </c>
    </row>
    <row r="7" ht="26" customHeight="1">
      <c r="B7" s="37" t="inlineStr">
        <is>
          <t>غاز الطبخ</t>
        </is>
      </c>
      <c r="C7" s="42" t="inlineStr">
        <is>
          <t>لكل X طلب</t>
        </is>
      </c>
      <c r="D7" s="43" t="n">
        <v>0</v>
      </c>
      <c r="E7" s="6" t="n">
        <v>10</v>
      </c>
      <c r="F7" s="4" t="n">
        <v>0</v>
      </c>
      <c r="G7" s="18">
        <f>IF(C7="لكل طلب",D7,IF(C7="لكل X طلب",IF(E7&gt;0,D7/E7,0),0))</f>
        <v/>
      </c>
    </row>
    <row r="8" ht="26" customHeight="1">
      <c r="B8" s="11" t="inlineStr">
        <is>
          <t>كهرباء متغيرة</t>
        </is>
      </c>
      <c r="C8" s="42" t="inlineStr">
        <is>
          <t>لكل X طلب</t>
        </is>
      </c>
      <c r="D8" s="43" t="n">
        <v>0</v>
      </c>
      <c r="E8" s="6" t="n">
        <v>50</v>
      </c>
      <c r="F8" s="4" t="n">
        <v>0</v>
      </c>
      <c r="G8" s="18">
        <f>IF(C8="لكل طلب",D8,IF(C8="لكل X طلب",IF(E8&gt;0,D8/E8,0),0))</f>
        <v/>
      </c>
    </row>
    <row r="9" ht="26" customHeight="1">
      <c r="B9" s="37" t="inlineStr">
        <is>
          <t>صيانة متغيرة</t>
        </is>
      </c>
      <c r="C9" s="42" t="inlineStr">
        <is>
          <t>لكل X طلب</t>
        </is>
      </c>
      <c r="D9" s="43" t="n">
        <v>0</v>
      </c>
      <c r="E9" s="6" t="n">
        <v>100</v>
      </c>
      <c r="F9" s="4" t="n">
        <v>0</v>
      </c>
      <c r="G9" s="18">
        <f>IF(C9="لكل طلب",D9,IF(C9="لكل X طلب",IF(E9&gt;0,D9/E9,0),0))</f>
        <v/>
      </c>
    </row>
    <row r="10" ht="26" customHeight="1">
      <c r="B10" s="11" t="inlineStr">
        <is>
          <t>عمولة منصة توصيل</t>
        </is>
      </c>
      <c r="C10" s="42" t="inlineStr">
        <is>
          <t>% من الإيراد</t>
        </is>
      </c>
      <c r="D10" s="43" t="n">
        <v>0</v>
      </c>
      <c r="E10" s="6" t="n">
        <v>1</v>
      </c>
      <c r="F10" s="4" t="n">
        <v>0</v>
      </c>
      <c r="G10" s="18">
        <f>IF(C10="لكل طلب",D10,IF(C10="لكل X طلب",IF(E10&gt;0,D10/E10,0),0))</f>
        <v/>
      </c>
    </row>
    <row r="11" ht="24" customHeight="1">
      <c r="B11" s="37" t="inlineStr"/>
      <c r="C11" s="42" t="inlineStr">
        <is>
          <t>لكل طلب</t>
        </is>
      </c>
      <c r="D11" s="43" t="n">
        <v>0</v>
      </c>
      <c r="E11" s="6" t="n">
        <v>1</v>
      </c>
      <c r="F11" s="4" t="n">
        <v>0</v>
      </c>
      <c r="G11" s="18">
        <f>IF(C11="لكل طلب",D11,IF(C11="لكل X طلب",IF(E11&gt;0,D11/E11,0),0))</f>
        <v/>
      </c>
    </row>
    <row r="12" ht="24" customHeight="1">
      <c r="B12" s="11" t="inlineStr"/>
      <c r="C12" s="42" t="inlineStr">
        <is>
          <t>لكل طلب</t>
        </is>
      </c>
      <c r="D12" s="43" t="n">
        <v>0</v>
      </c>
      <c r="E12" s="6" t="n">
        <v>1</v>
      </c>
      <c r="F12" s="4" t="n">
        <v>0</v>
      </c>
      <c r="G12" s="18">
        <f>IF(C12="لكل طلب",D12,IF(C12="لكل X طلب",IF(E12&gt;0,D12/E12,0),0))</f>
        <v/>
      </c>
    </row>
    <row r="13" ht="24" customHeight="1">
      <c r="B13" s="37" t="inlineStr"/>
      <c r="C13" s="42" t="inlineStr">
        <is>
          <t>لكل طلب</t>
        </is>
      </c>
      <c r="D13" s="43" t="n">
        <v>0</v>
      </c>
      <c r="E13" s="6" t="n">
        <v>1</v>
      </c>
      <c r="F13" s="4" t="n">
        <v>0</v>
      </c>
      <c r="G13" s="18">
        <f>IF(C13="لكل طلب",D13,IF(C13="لكل X طلب",IF(E13&gt;0,D13/E13,0),0))</f>
        <v/>
      </c>
    </row>
    <row r="14" ht="24" customHeight="1">
      <c r="B14" s="11" t="inlineStr"/>
      <c r="C14" s="42" t="inlineStr">
        <is>
          <t>لكل طلب</t>
        </is>
      </c>
      <c r="D14" s="43" t="n">
        <v>0</v>
      </c>
      <c r="E14" s="6" t="n">
        <v>1</v>
      </c>
      <c r="F14" s="4" t="n">
        <v>0</v>
      </c>
      <c r="G14" s="18">
        <f>IF(C14="لكل طلب",D14,IF(C14="لكل X طلب",IF(E14&gt;0,D14/E14,0),0))</f>
        <v/>
      </c>
    </row>
    <row r="15" ht="24" customHeight="1">
      <c r="B15" s="37" t="inlineStr"/>
      <c r="C15" s="42" t="inlineStr">
        <is>
          <t>لكل طلب</t>
        </is>
      </c>
      <c r="D15" s="43" t="n">
        <v>0</v>
      </c>
      <c r="E15" s="6" t="n">
        <v>1</v>
      </c>
      <c r="F15" s="4" t="n">
        <v>0</v>
      </c>
      <c r="G15" s="18">
        <f>IF(C15="لكل طلب",D15,IF(C15="لكل X طلب",IF(E15&gt;0,D15/E15,0),0))</f>
        <v/>
      </c>
    </row>
    <row r="16" ht="24" customHeight="1">
      <c r="B16" s="11" t="inlineStr"/>
      <c r="C16" s="42" t="inlineStr">
        <is>
          <t>لكل طلب</t>
        </is>
      </c>
      <c r="D16" s="43" t="n">
        <v>0</v>
      </c>
      <c r="E16" s="6" t="n">
        <v>1</v>
      </c>
      <c r="F16" s="4" t="n">
        <v>0</v>
      </c>
      <c r="G16" s="18">
        <f>IF(C16="لكل طلب",D16,IF(C16="لكل X طلب",IF(E16&gt;0,D16/E16,0),0))</f>
        <v/>
      </c>
    </row>
    <row r="17" ht="24" customHeight="1">
      <c r="B17" s="37" t="inlineStr"/>
      <c r="C17" s="42" t="inlineStr">
        <is>
          <t>لكل طلب</t>
        </is>
      </c>
      <c r="D17" s="43" t="n">
        <v>0</v>
      </c>
      <c r="E17" s="6" t="n">
        <v>1</v>
      </c>
      <c r="F17" s="4" t="n">
        <v>0</v>
      </c>
      <c r="G17" s="18">
        <f>IF(C17="لكل طلب",D17,IF(C17="لكل X طلب",IF(E17&gt;0,D17/E17,0),0))</f>
        <v/>
      </c>
    </row>
    <row r="18" ht="24" customHeight="1">
      <c r="B18" s="11" t="inlineStr"/>
      <c r="C18" s="42" t="inlineStr">
        <is>
          <t>لكل طلب</t>
        </is>
      </c>
      <c r="D18" s="43" t="n">
        <v>0</v>
      </c>
      <c r="E18" s="6" t="n">
        <v>1</v>
      </c>
      <c r="F18" s="4" t="n">
        <v>0</v>
      </c>
      <c r="G18" s="18">
        <f>IF(C18="لكل طلب",D18,IF(C18="لكل X طلب",IF(E18&gt;0,D18/E18,0),0))</f>
        <v/>
      </c>
    </row>
    <row r="19" ht="24" customHeight="1">
      <c r="B19" s="37" t="inlineStr"/>
      <c r="C19" s="42" t="inlineStr">
        <is>
          <t>لكل طلب</t>
        </is>
      </c>
      <c r="D19" s="43" t="n">
        <v>0</v>
      </c>
      <c r="E19" s="6" t="n">
        <v>1</v>
      </c>
      <c r="F19" s="4" t="n">
        <v>0</v>
      </c>
      <c r="G19" s="18">
        <f>IF(C19="لكل طلب",D19,IF(C19="لكل X طلب",IF(E19&gt;0,D19/E19,0),0))</f>
        <v/>
      </c>
    </row>
    <row r="20" ht="28" customHeight="1">
      <c r="B20" s="44" t="inlineStr">
        <is>
          <t>إجمالي التكلفة المتغيرة / طلب</t>
        </is>
      </c>
      <c r="C20" s="45" t="n"/>
      <c r="D20" s="45" t="n"/>
      <c r="E20" s="45" t="n"/>
      <c r="F20" s="46" t="n"/>
      <c r="G20" s="22">
        <f>SUM(G5:G19)</f>
        <v/>
      </c>
    </row>
    <row r="21" ht="28" customHeight="1">
      <c r="B21" s="47" t="inlineStr">
        <is>
          <t>إجمالي نسبة % من الإيراد</t>
        </is>
      </c>
      <c r="C21" s="45" t="n"/>
      <c r="D21" s="45" t="n"/>
      <c r="E21" s="45" t="n"/>
      <c r="F21" s="46" t="n"/>
      <c r="G21" s="28">
        <f>SUMIF(C5:C19,"% من الإيراد",F5:F19)</f>
        <v/>
      </c>
    </row>
  </sheetData>
  <mergeCells count="4">
    <mergeCell ref="B21:F21"/>
    <mergeCell ref="B2:G2"/>
    <mergeCell ref="B20:F20"/>
    <mergeCell ref="B1:G1"/>
  </mergeCells>
  <dataValidations count="1">
    <dataValidation sqref="C5:C19" showDropDown="0" showInputMessage="0" showErrorMessage="0" allowBlank="0" type="list">
      <formula1>"لكل طلب,لكل X طلب,% من الإيراد"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B5CF6"/>
    <outlinePr summaryBelow="1" summaryRight="1"/>
    <pageSetUpPr/>
  </sheetPr>
  <dimension ref="B1:D25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8" customWidth="1" min="2" max="2"/>
    <col width="22" customWidth="1" min="3" max="3"/>
    <col width="30" customWidth="1" min="4" max="4"/>
  </cols>
  <sheetData>
    <row r="1" ht="38" customHeight="1">
      <c r="B1" s="35" t="inlineStr">
        <is>
          <t>📣  مصاريف الدعاية والإعلان</t>
        </is>
      </c>
    </row>
    <row r="2" ht="22" customHeight="1">
      <c r="B2" s="2" t="inlineStr">
        <is>
          <t>إعلانات، محتوى، سوشيال ميديا، عروض</t>
        </is>
      </c>
    </row>
    <row r="4" ht="28" customHeight="1">
      <c r="B4" s="36" t="inlineStr">
        <is>
          <t>البند / الوصف</t>
        </is>
      </c>
      <c r="C4" s="36" t="inlineStr">
        <is>
          <t>المبلغ (ر.س)</t>
        </is>
      </c>
      <c r="D4" s="36" t="inlineStr">
        <is>
          <t>ملاحظات</t>
        </is>
      </c>
    </row>
    <row r="5" ht="26" customHeight="1">
      <c r="B5" s="37" t="inlineStr">
        <is>
          <t>إدارة وسائل التواصل الاجتماعي</t>
        </is>
      </c>
      <c r="C5" s="38" t="n">
        <v>0</v>
      </c>
      <c r="D5" s="37" t="inlineStr"/>
    </row>
    <row r="6" ht="26" customHeight="1">
      <c r="B6" s="11" t="inlineStr">
        <is>
          <t>إعلانات مدفوعة (Meta / Google)</t>
        </is>
      </c>
      <c r="C6" s="38" t="n">
        <v>0</v>
      </c>
      <c r="D6" s="11" t="inlineStr"/>
    </row>
    <row r="7" ht="26" customHeight="1">
      <c r="B7" s="37" t="inlineStr">
        <is>
          <t>تصوير وإنتاج محتوى</t>
        </is>
      </c>
      <c r="C7" s="38" t="n">
        <v>0</v>
      </c>
      <c r="D7" s="37" t="inlineStr"/>
    </row>
    <row r="8" ht="26" customHeight="1">
      <c r="B8" s="11" t="inlineStr">
        <is>
          <t>عروض وخصومات ترويجية</t>
        </is>
      </c>
      <c r="C8" s="38" t="n">
        <v>0</v>
      </c>
      <c r="D8" s="11" t="inlineStr"/>
    </row>
    <row r="9" ht="24" customHeight="1">
      <c r="B9" s="37" t="inlineStr"/>
      <c r="C9" s="38" t="n">
        <v>0</v>
      </c>
      <c r="D9" s="37" t="inlineStr"/>
    </row>
    <row r="10" ht="24" customHeight="1">
      <c r="B10" s="11" t="inlineStr"/>
      <c r="C10" s="38" t="n">
        <v>0</v>
      </c>
      <c r="D10" s="11" t="inlineStr"/>
    </row>
    <row r="11" ht="24" customHeight="1">
      <c r="B11" s="37" t="inlineStr"/>
      <c r="C11" s="38" t="n">
        <v>0</v>
      </c>
      <c r="D11" s="37" t="inlineStr"/>
    </row>
    <row r="12" ht="24" customHeight="1">
      <c r="B12" s="11" t="inlineStr"/>
      <c r="C12" s="38" t="n">
        <v>0</v>
      </c>
      <c r="D12" s="11" t="inlineStr"/>
    </row>
    <row r="13" ht="24" customHeight="1">
      <c r="B13" s="37" t="inlineStr"/>
      <c r="C13" s="38" t="n">
        <v>0</v>
      </c>
      <c r="D13" s="37" t="inlineStr"/>
    </row>
    <row r="14" ht="24" customHeight="1">
      <c r="B14" s="11" t="inlineStr"/>
      <c r="C14" s="38" t="n">
        <v>0</v>
      </c>
      <c r="D14" s="11" t="inlineStr"/>
    </row>
    <row r="15" ht="24" customHeight="1">
      <c r="B15" s="37" t="inlineStr"/>
      <c r="C15" s="38" t="n">
        <v>0</v>
      </c>
      <c r="D15" s="37" t="inlineStr"/>
    </row>
    <row r="16" ht="24" customHeight="1">
      <c r="B16" s="11" t="inlineStr"/>
      <c r="C16" s="38" t="n">
        <v>0</v>
      </c>
      <c r="D16" s="11" t="inlineStr"/>
    </row>
    <row r="17" ht="24" customHeight="1">
      <c r="B17" s="37" t="inlineStr"/>
      <c r="C17" s="38" t="n">
        <v>0</v>
      </c>
      <c r="D17" s="37" t="inlineStr"/>
    </row>
    <row r="18" ht="24" customHeight="1">
      <c r="B18" s="11" t="inlineStr"/>
      <c r="C18" s="38" t="n">
        <v>0</v>
      </c>
      <c r="D18" s="11" t="inlineStr"/>
    </row>
    <row r="19" ht="24" customHeight="1">
      <c r="B19" s="37" t="inlineStr"/>
      <c r="C19" s="38" t="n">
        <v>0</v>
      </c>
      <c r="D19" s="37" t="inlineStr"/>
    </row>
    <row r="20" ht="24" customHeight="1">
      <c r="B20" s="11" t="inlineStr"/>
      <c r="C20" s="38" t="n">
        <v>0</v>
      </c>
      <c r="D20" s="11" t="inlineStr"/>
    </row>
    <row r="21" ht="24" customHeight="1">
      <c r="B21" s="37" t="inlineStr"/>
      <c r="C21" s="38" t="n">
        <v>0</v>
      </c>
      <c r="D21" s="37" t="inlineStr"/>
    </row>
    <row r="22" ht="24" customHeight="1">
      <c r="B22" s="11" t="inlineStr"/>
      <c r="C22" s="38" t="n">
        <v>0</v>
      </c>
      <c r="D22" s="11" t="inlineStr"/>
    </row>
    <row r="23" ht="24" customHeight="1">
      <c r="B23" s="37" t="inlineStr"/>
      <c r="C23" s="38" t="n">
        <v>0</v>
      </c>
      <c r="D23" s="37" t="inlineStr"/>
    </row>
    <row r="24" ht="24" customHeight="1">
      <c r="B24" s="11" t="inlineStr"/>
      <c r="C24" s="38" t="n">
        <v>0</v>
      </c>
      <c r="D24" s="11" t="inlineStr"/>
    </row>
    <row r="25" ht="30" customHeight="1">
      <c r="B25" s="39" t="inlineStr">
        <is>
          <t>المجموع الشهري</t>
        </is>
      </c>
      <c r="C25" s="40">
        <f>SUM(C5:C24)</f>
        <v/>
      </c>
      <c r="D25" s="23" t="inlineStr"/>
    </row>
  </sheetData>
  <mergeCells count="3">
    <mergeCell ref="B1:D1"/>
    <mergeCell ref="B2:D2"/>
    <mergeCell ref="B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B7280"/>
    <outlinePr summaryBelow="1" summaryRight="1"/>
    <pageSetUpPr/>
  </sheetPr>
  <dimension ref="B1:E21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6" customWidth="1" min="2" max="2"/>
    <col width="22" customWidth="1" min="3" max="3"/>
    <col width="16" customWidth="1" min="4" max="4"/>
    <col width="28" customWidth="1" min="5" max="5"/>
  </cols>
  <sheetData>
    <row r="1" ht="38" customHeight="1">
      <c r="B1" s="35" t="inlineStr">
        <is>
          <t>📂  مصاريف أخرى</t>
        </is>
      </c>
    </row>
    <row r="2">
      <c r="B2" s="2" t="inlineStr">
        <is>
          <t>أي بنود إضافية — اكتب "نعم" في عمود شهري؟ لتُحتسب ضمن المصاريف الشهرية</t>
        </is>
      </c>
    </row>
    <row r="4" ht="28" customHeight="1">
      <c r="B4" s="36" t="inlineStr">
        <is>
          <t>البند</t>
        </is>
      </c>
      <c r="C4" s="36" t="inlineStr">
        <is>
          <t>المبلغ (ر.س)</t>
        </is>
      </c>
      <c r="D4" s="36" t="inlineStr">
        <is>
          <t>شهري؟</t>
        </is>
      </c>
      <c r="E4" s="36" t="inlineStr">
        <is>
          <t>ملاحظات</t>
        </is>
      </c>
    </row>
    <row r="5" ht="24" customHeight="1">
      <c r="B5" s="37" t="inlineStr"/>
      <c r="C5" s="38" t="n">
        <v>0</v>
      </c>
      <c r="D5" s="37" t="inlineStr">
        <is>
          <t>لا</t>
        </is>
      </c>
      <c r="E5" s="37" t="inlineStr"/>
    </row>
    <row r="6" ht="24" customHeight="1">
      <c r="B6" s="11" t="inlineStr"/>
      <c r="C6" s="38" t="n">
        <v>0</v>
      </c>
      <c r="D6" s="11" t="inlineStr">
        <is>
          <t>لا</t>
        </is>
      </c>
      <c r="E6" s="11" t="inlineStr"/>
    </row>
    <row r="7" ht="24" customHeight="1">
      <c r="B7" s="37" t="inlineStr"/>
      <c r="C7" s="38" t="n">
        <v>0</v>
      </c>
      <c r="D7" s="37" t="inlineStr">
        <is>
          <t>لا</t>
        </is>
      </c>
      <c r="E7" s="37" t="inlineStr"/>
    </row>
    <row r="8" ht="24" customHeight="1">
      <c r="B8" s="11" t="inlineStr"/>
      <c r="C8" s="38" t="n">
        <v>0</v>
      </c>
      <c r="D8" s="11" t="inlineStr">
        <is>
          <t>لا</t>
        </is>
      </c>
      <c r="E8" s="11" t="inlineStr"/>
    </row>
    <row r="9" ht="24" customHeight="1">
      <c r="B9" s="37" t="inlineStr"/>
      <c r="C9" s="38" t="n">
        <v>0</v>
      </c>
      <c r="D9" s="37" t="inlineStr">
        <is>
          <t>لا</t>
        </is>
      </c>
      <c r="E9" s="37" t="inlineStr"/>
    </row>
    <row r="10" ht="24" customHeight="1">
      <c r="B10" s="11" t="inlineStr"/>
      <c r="C10" s="38" t="n">
        <v>0</v>
      </c>
      <c r="D10" s="11" t="inlineStr">
        <is>
          <t>لا</t>
        </is>
      </c>
      <c r="E10" s="11" t="inlineStr"/>
    </row>
    <row r="11" ht="24" customHeight="1">
      <c r="B11" s="37" t="inlineStr"/>
      <c r="C11" s="38" t="n">
        <v>0</v>
      </c>
      <c r="D11" s="37" t="inlineStr">
        <is>
          <t>لا</t>
        </is>
      </c>
      <c r="E11" s="37" t="inlineStr"/>
    </row>
    <row r="12" ht="24" customHeight="1">
      <c r="B12" s="11" t="inlineStr"/>
      <c r="C12" s="38" t="n">
        <v>0</v>
      </c>
      <c r="D12" s="11" t="inlineStr">
        <is>
          <t>لا</t>
        </is>
      </c>
      <c r="E12" s="11" t="inlineStr"/>
    </row>
    <row r="13" ht="24" customHeight="1">
      <c r="B13" s="37" t="inlineStr"/>
      <c r="C13" s="38" t="n">
        <v>0</v>
      </c>
      <c r="D13" s="37" t="inlineStr">
        <is>
          <t>لا</t>
        </is>
      </c>
      <c r="E13" s="37" t="inlineStr"/>
    </row>
    <row r="14" ht="24" customHeight="1">
      <c r="B14" s="11" t="inlineStr"/>
      <c r="C14" s="38" t="n">
        <v>0</v>
      </c>
      <c r="D14" s="11" t="inlineStr">
        <is>
          <t>لا</t>
        </is>
      </c>
      <c r="E14" s="11" t="inlineStr"/>
    </row>
    <row r="15" ht="24" customHeight="1">
      <c r="B15" s="37" t="inlineStr"/>
      <c r="C15" s="38" t="n">
        <v>0</v>
      </c>
      <c r="D15" s="37" t="inlineStr">
        <is>
          <t>لا</t>
        </is>
      </c>
      <c r="E15" s="37" t="inlineStr"/>
    </row>
    <row r="16" ht="24" customHeight="1">
      <c r="B16" s="11" t="inlineStr"/>
      <c r="C16" s="38" t="n">
        <v>0</v>
      </c>
      <c r="D16" s="11" t="inlineStr">
        <is>
          <t>لا</t>
        </is>
      </c>
      <c r="E16" s="11" t="inlineStr"/>
    </row>
    <row r="17" ht="24" customHeight="1">
      <c r="B17" s="37" t="inlineStr"/>
      <c r="C17" s="38" t="n">
        <v>0</v>
      </c>
      <c r="D17" s="37" t="inlineStr">
        <is>
          <t>لا</t>
        </is>
      </c>
      <c r="E17" s="37" t="inlineStr"/>
    </row>
    <row r="18" ht="24" customHeight="1">
      <c r="B18" s="11" t="inlineStr"/>
      <c r="C18" s="38" t="n">
        <v>0</v>
      </c>
      <c r="D18" s="11" t="inlineStr">
        <is>
          <t>لا</t>
        </is>
      </c>
      <c r="E18" s="11" t="inlineStr"/>
    </row>
    <row r="19" ht="24" customHeight="1">
      <c r="B19" s="37" t="inlineStr"/>
      <c r="C19" s="38" t="n">
        <v>0</v>
      </c>
      <c r="D19" s="37" t="inlineStr">
        <is>
          <t>لا</t>
        </is>
      </c>
      <c r="E19" s="37" t="inlineStr"/>
    </row>
    <row r="20" ht="28" customHeight="1">
      <c r="B20" s="44" t="inlineStr">
        <is>
          <t>إجمالي الشهري</t>
        </is>
      </c>
      <c r="C20" s="22">
        <f>SUMIF(D5:D19,"نعم",C5:C19)</f>
        <v/>
      </c>
      <c r="D20" s="23" t="inlineStr"/>
      <c r="E20" s="23" t="inlineStr"/>
    </row>
    <row r="21" ht="28" customHeight="1">
      <c r="B21" s="48" t="inlineStr">
        <is>
          <t>إجمالي لمرة واحدة</t>
        </is>
      </c>
      <c r="C21" s="30">
        <f>SUMIF(D5:D19,"لا",C5:C19)</f>
        <v/>
      </c>
      <c r="D21" s="17" t="inlineStr"/>
      <c r="E21" s="17" t="inlineStr"/>
    </row>
  </sheetData>
  <mergeCells count="2">
    <mergeCell ref="B1:E1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6A34A"/>
    <outlinePr summaryBelow="1" summaryRight="1"/>
    <pageSetUpPr/>
  </sheetPr>
  <dimension ref="B1:F127"/>
  <sheetViews>
    <sheetView rightToLeft="1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30" customWidth="1" min="2" max="2"/>
    <col width="22" customWidth="1" min="3" max="3"/>
    <col width="14" customWidth="1" min="4" max="4"/>
    <col width="22" customWidth="1" min="5" max="5"/>
    <col width="32" customWidth="1" min="6" max="6"/>
  </cols>
  <sheetData>
    <row r="1" ht="40" customHeight="1">
      <c r="B1" s="35" t="inlineStr">
        <is>
          <t>💰  تسعير المنتجات — الحد الأدنى للسعر يُحسب تلقائياً</t>
        </is>
      </c>
    </row>
    <row r="2" ht="24" customHeight="1">
      <c r="B2" s="2" t="inlineStr">
        <is>
          <t>📌  الخلايا الصفراء للإدخال — الخلايا الزرقاء محسوبة تلقائياً — السعر الأخضر = صحيح | الأحمر = منخفض جداً</t>
        </is>
      </c>
    </row>
    <row r="3" ht="36" customHeight="1">
      <c r="B3" s="49" t="inlineStr">
        <is>
          <t>🍽️  المنتج 1</t>
        </is>
      </c>
    </row>
    <row r="4" ht="30" customHeight="1">
      <c r="B4" s="3" t="inlineStr">
        <is>
          <t>اسم المنتج</t>
        </is>
      </c>
      <c r="C4" s="42" t="inlineStr">
        <is>
          <t>منتج 1</t>
        </is>
      </c>
      <c r="D4" s="3" t="inlineStr">
        <is>
          <t>وحدات/شهر</t>
        </is>
      </c>
      <c r="E4" s="6" t="n">
        <v>100</v>
      </c>
      <c r="F4" s="37" t="inlineStr"/>
    </row>
    <row r="5" ht="26" customHeight="1">
      <c r="B5" s="50" t="inlineStr">
        <is>
          <t>🧂  المكونات والمواد الخام</t>
        </is>
      </c>
    </row>
    <row r="6" ht="24" customHeight="1">
      <c r="B6" s="36" t="inlineStr">
        <is>
          <t>المكوّن</t>
        </is>
      </c>
      <c r="C6" s="36" t="inlineStr">
        <is>
          <t>سعر الوحدة (ر.س)</t>
        </is>
      </c>
      <c r="D6" s="36" t="inlineStr">
        <is>
          <t>الكمية</t>
        </is>
      </c>
      <c r="E6" s="36" t="inlineStr">
        <is>
          <t>التكلفة الإجمالية</t>
        </is>
      </c>
      <c r="F6" s="36" t="inlineStr">
        <is>
          <t>ملاحظات</t>
        </is>
      </c>
    </row>
    <row r="7" ht="24" customHeight="1">
      <c r="B7" s="37" t="inlineStr"/>
      <c r="C7" s="43" t="n">
        <v>0</v>
      </c>
      <c r="D7" s="51" t="n">
        <v>0</v>
      </c>
      <c r="E7" s="18">
        <f>C7*D7</f>
        <v/>
      </c>
      <c r="F7" s="37" t="inlineStr"/>
    </row>
    <row r="8" ht="24" customHeight="1">
      <c r="B8" s="11" t="inlineStr"/>
      <c r="C8" s="43" t="n">
        <v>0</v>
      </c>
      <c r="D8" s="51" t="n">
        <v>0</v>
      </c>
      <c r="E8" s="18">
        <f>C8*D8</f>
        <v/>
      </c>
      <c r="F8" s="11" t="inlineStr"/>
    </row>
    <row r="9" ht="24" customHeight="1">
      <c r="B9" s="37" t="inlineStr"/>
      <c r="C9" s="43" t="n">
        <v>0</v>
      </c>
      <c r="D9" s="51" t="n">
        <v>0</v>
      </c>
      <c r="E9" s="18">
        <f>C9*D9</f>
        <v/>
      </c>
      <c r="F9" s="37" t="inlineStr"/>
    </row>
    <row r="10" ht="24" customHeight="1">
      <c r="B10" s="11" t="inlineStr"/>
      <c r="C10" s="43" t="n">
        <v>0</v>
      </c>
      <c r="D10" s="51" t="n">
        <v>0</v>
      </c>
      <c r="E10" s="18">
        <f>C10*D10</f>
        <v/>
      </c>
      <c r="F10" s="11" t="inlineStr"/>
    </row>
    <row r="11" ht="24" customHeight="1">
      <c r="B11" s="37" t="inlineStr"/>
      <c r="C11" s="43" t="n">
        <v>0</v>
      </c>
      <c r="D11" s="51" t="n">
        <v>0</v>
      </c>
      <c r="E11" s="18">
        <f>C11*D11</f>
        <v/>
      </c>
      <c r="F11" s="37" t="inlineStr"/>
    </row>
    <row r="12" ht="24" customHeight="1">
      <c r="B12" s="11" t="inlineStr"/>
      <c r="C12" s="43" t="n">
        <v>0</v>
      </c>
      <c r="D12" s="51" t="n">
        <v>0</v>
      </c>
      <c r="E12" s="18">
        <f>C12*D12</f>
        <v/>
      </c>
      <c r="F12" s="11" t="inlineStr"/>
    </row>
    <row r="13" ht="24" customHeight="1">
      <c r="B13" s="37" t="inlineStr"/>
      <c r="C13" s="43" t="n">
        <v>0</v>
      </c>
      <c r="D13" s="51" t="n">
        <v>0</v>
      </c>
      <c r="E13" s="18">
        <f>C13*D13</f>
        <v/>
      </c>
      <c r="F13" s="37" t="inlineStr"/>
    </row>
    <row r="14" ht="24" customHeight="1">
      <c r="B14" s="11" t="inlineStr"/>
      <c r="C14" s="43" t="n">
        <v>0</v>
      </c>
      <c r="D14" s="51" t="n">
        <v>0</v>
      </c>
      <c r="E14" s="18">
        <f>C14*D14</f>
        <v/>
      </c>
      <c r="F14" s="11" t="inlineStr"/>
    </row>
    <row r="15" ht="26" customHeight="1">
      <c r="B15" s="50" t="inlineStr">
        <is>
          <t>📊  تفصيل التكلفة والسعر</t>
        </is>
      </c>
    </row>
    <row r="16" ht="24" customHeight="1">
      <c r="B16" s="11" t="inlineStr">
        <is>
          <t>تكلفة المواد الخام</t>
        </is>
      </c>
      <c r="C16" s="18">
        <f>SUM(E7:E14)</f>
        <v/>
      </c>
      <c r="D16" s="52" t="inlineStr">
        <is>
          <t>مجموع تكلفة المكونات</t>
        </is>
      </c>
    </row>
    <row r="17" ht="24" customHeight="1">
      <c r="B17" s="11" t="inlineStr">
        <is>
          <t>بعد الهدر</t>
        </is>
      </c>
      <c r="C17" s="18">
        <f>C16*(1+الإعدادات!$B$5)</f>
        <v/>
      </c>
      <c r="D17" s="53">
        <f>"+ "&amp;TEXT(الإعدادات!$B$5,"0.0%")&amp;" هدر — زيادة: "&amp;TEXT(C17-C16,"#,##0.00")&amp;" ر.س"</f>
        <v/>
      </c>
    </row>
    <row r="18" ht="24" customHeight="1">
      <c r="B18" s="11" t="inlineStr">
        <is>
          <t>توزيع المصاريف الثابتة</t>
        </is>
      </c>
      <c r="C18" s="18">
        <f>'لوحة التحكم'!$C$19</f>
        <v/>
      </c>
      <c r="D18" s="54">
        <f>"من إجمالي "&amp;TEXT(لوحة_التحكم!$C$16,"#,##0.00 ر.س")&amp;" ÷ "&amp;TEXT(الإعدادات!$B$6,"#,##0")&amp;" وحدة"</f>
        <v/>
      </c>
    </row>
    <row r="19" ht="24" customHeight="1">
      <c r="B19" s="11" t="inlineStr">
        <is>
          <t>التكاليف المتغيرة / طلب</t>
        </is>
      </c>
      <c r="C19" s="18">
        <f>'لوحة التحكم'!$C$17</f>
        <v/>
      </c>
      <c r="D19" s="52" t="inlineStr">
        <is>
          <t>تغليف + غاز + صيانة + ...</t>
        </is>
      </c>
    </row>
    <row r="20" ht="28" customHeight="1">
      <c r="B20" s="55" t="inlineStr">
        <is>
          <t>إجمالي التكلفة / وحدة</t>
        </is>
      </c>
      <c r="C20" s="56">
        <f>C17+C18+C19</f>
        <v/>
      </c>
      <c r="D20" s="14" t="inlineStr"/>
    </row>
    <row r="21" ht="30" customHeight="1">
      <c r="B21" s="57">
        <f>"الحد الأدنى للسعر (هامش "&amp;TEXT(الإعدادات!$B$4,"0%")&amp;")"</f>
        <v/>
      </c>
      <c r="C21" s="58">
        <f>IF((1-الإعدادات!$B$4-لوحة_التحكم!$C$18)&gt;0,C20/(1-الإعدادات!$B$4-لوحة_التحكم!$C$18),0)</f>
        <v/>
      </c>
      <c r="D21" s="59">
        <f>"تكلفة "&amp;TEXT(C20,"#,##0.00")&amp;" ر.س ÷ (1 - هامش - عمولة)"</f>
        <v/>
      </c>
    </row>
    <row r="22" ht="30" customHeight="1">
      <c r="B22" s="60" t="inlineStr">
        <is>
          <t>سعر البيع المقترح (أدخله)</t>
        </is>
      </c>
      <c r="C22" s="38" t="n">
        <v>0</v>
      </c>
      <c r="D22" s="61" t="inlineStr">
        <is>
          <t>← أدخل سعر البيع الذي تريد تحديده</t>
        </is>
      </c>
    </row>
    <row r="23" ht="28" customHeight="1">
      <c r="B23" s="3" t="inlineStr">
        <is>
          <t>حالة السعر</t>
        </is>
      </c>
      <c r="C23" s="62">
        <f>IF(C22=0,"أدخل السعر أولاً",IF(C22&gt;=C21,"✅ السعر صحيح",IF(C22&gt;=C21*0.9,"⚠️ السعر قريب - راجع","🚨 السعر منخفض جداً")))</f>
        <v/>
      </c>
      <c r="D23" s="54">
        <f>IF(C22&gt;0,"الحد الأدنى: "&amp;TEXT(C21,"#,##0.00")&amp;" ر.س","")</f>
        <v/>
      </c>
    </row>
    <row r="24" ht="24" customHeight="1">
      <c r="B24" s="3" t="inlineStr">
        <is>
          <t>هامش الربح الفعلي %</t>
        </is>
      </c>
      <c r="C24" s="63">
        <f>IF(C22&gt;0,(C22-(C20+لوحة_التحكم!$C$18*C22))/C22,0)</f>
        <v/>
      </c>
      <c r="D24" s="11" t="inlineStr"/>
    </row>
    <row r="25" ht="24" customHeight="1">
      <c r="B25" s="3" t="inlineStr">
        <is>
          <t>نقطة التعادل (وحدة/شهر)</t>
        </is>
      </c>
      <c r="C25" s="64">
        <f>IF(AND(C21&gt;0,(C21-(C17+C19))&gt;0),CEILING(لوحة_التحكم!$C$16/(C21-(C17+C19)),1),0)</f>
        <v/>
      </c>
      <c r="D25" s="11" t="inlineStr"/>
    </row>
    <row r="26" ht="12" customHeight="1">
      <c r="B26" s="65" t="inlineStr"/>
    </row>
    <row r="27" ht="12" customHeight="1">
      <c r="B27" s="65" t="inlineStr"/>
    </row>
    <row r="28" ht="36" customHeight="1">
      <c r="B28" s="49" t="inlineStr">
        <is>
          <t>🍽️  المنتج 2</t>
        </is>
      </c>
    </row>
    <row r="29" ht="30" customHeight="1">
      <c r="B29" s="3" t="inlineStr">
        <is>
          <t>اسم المنتج</t>
        </is>
      </c>
      <c r="C29" s="42" t="inlineStr">
        <is>
          <t>منتج 2</t>
        </is>
      </c>
      <c r="D29" s="3" t="inlineStr">
        <is>
          <t>وحدات/شهر</t>
        </is>
      </c>
      <c r="E29" s="6" t="n">
        <v>100</v>
      </c>
      <c r="F29" s="37" t="inlineStr"/>
    </row>
    <row r="30" ht="26" customHeight="1">
      <c r="B30" s="50" t="inlineStr">
        <is>
          <t>🧂  المكونات والمواد الخام</t>
        </is>
      </c>
    </row>
    <row r="31" ht="24" customHeight="1">
      <c r="B31" s="36" t="inlineStr">
        <is>
          <t>المكوّن</t>
        </is>
      </c>
      <c r="C31" s="36" t="inlineStr">
        <is>
          <t>سعر الوحدة (ر.س)</t>
        </is>
      </c>
      <c r="D31" s="36" t="inlineStr">
        <is>
          <t>الكمية</t>
        </is>
      </c>
      <c r="E31" s="36" t="inlineStr">
        <is>
          <t>التكلفة الإجمالية</t>
        </is>
      </c>
      <c r="F31" s="36" t="inlineStr">
        <is>
          <t>ملاحظات</t>
        </is>
      </c>
    </row>
    <row r="32" ht="24" customHeight="1">
      <c r="B32" s="37" t="inlineStr"/>
      <c r="C32" s="43" t="n">
        <v>0</v>
      </c>
      <c r="D32" s="51" t="n">
        <v>0</v>
      </c>
      <c r="E32" s="18">
        <f>C32*D32</f>
        <v/>
      </c>
      <c r="F32" s="37" t="inlineStr"/>
    </row>
    <row r="33" ht="24" customHeight="1">
      <c r="B33" s="11" t="inlineStr"/>
      <c r="C33" s="43" t="n">
        <v>0</v>
      </c>
      <c r="D33" s="51" t="n">
        <v>0</v>
      </c>
      <c r="E33" s="18">
        <f>C33*D33</f>
        <v/>
      </c>
      <c r="F33" s="11" t="inlineStr"/>
    </row>
    <row r="34" ht="24" customHeight="1">
      <c r="B34" s="37" t="inlineStr"/>
      <c r="C34" s="43" t="n">
        <v>0</v>
      </c>
      <c r="D34" s="51" t="n">
        <v>0</v>
      </c>
      <c r="E34" s="18">
        <f>C34*D34</f>
        <v/>
      </c>
      <c r="F34" s="37" t="inlineStr"/>
    </row>
    <row r="35" ht="24" customHeight="1">
      <c r="B35" s="11" t="inlineStr"/>
      <c r="C35" s="43" t="n">
        <v>0</v>
      </c>
      <c r="D35" s="51" t="n">
        <v>0</v>
      </c>
      <c r="E35" s="18">
        <f>C35*D35</f>
        <v/>
      </c>
      <c r="F35" s="11" t="inlineStr"/>
    </row>
    <row r="36" ht="24" customHeight="1">
      <c r="B36" s="37" t="inlineStr"/>
      <c r="C36" s="43" t="n">
        <v>0</v>
      </c>
      <c r="D36" s="51" t="n">
        <v>0</v>
      </c>
      <c r="E36" s="18">
        <f>C36*D36</f>
        <v/>
      </c>
      <c r="F36" s="37" t="inlineStr"/>
    </row>
    <row r="37" ht="24" customHeight="1">
      <c r="B37" s="11" t="inlineStr"/>
      <c r="C37" s="43" t="n">
        <v>0</v>
      </c>
      <c r="D37" s="51" t="n">
        <v>0</v>
      </c>
      <c r="E37" s="18">
        <f>C37*D37</f>
        <v/>
      </c>
      <c r="F37" s="11" t="inlineStr"/>
    </row>
    <row r="38" ht="24" customHeight="1">
      <c r="B38" s="37" t="inlineStr"/>
      <c r="C38" s="43" t="n">
        <v>0</v>
      </c>
      <c r="D38" s="51" t="n">
        <v>0</v>
      </c>
      <c r="E38" s="18">
        <f>C38*D38</f>
        <v/>
      </c>
      <c r="F38" s="37" t="inlineStr"/>
    </row>
    <row r="39" ht="24" customHeight="1">
      <c r="B39" s="11" t="inlineStr"/>
      <c r="C39" s="43" t="n">
        <v>0</v>
      </c>
      <c r="D39" s="51" t="n">
        <v>0</v>
      </c>
      <c r="E39" s="18">
        <f>C39*D39</f>
        <v/>
      </c>
      <c r="F39" s="11" t="inlineStr"/>
    </row>
    <row r="40" ht="26" customHeight="1">
      <c r="B40" s="50" t="inlineStr">
        <is>
          <t>📊  تفصيل التكلفة والسعر</t>
        </is>
      </c>
    </row>
    <row r="41" ht="24" customHeight="1">
      <c r="B41" s="11" t="inlineStr">
        <is>
          <t>تكلفة المواد الخام</t>
        </is>
      </c>
      <c r="C41" s="18">
        <f>SUM(E32:E39)</f>
        <v/>
      </c>
      <c r="D41" s="52" t="inlineStr">
        <is>
          <t>مجموع تكلفة المكونات</t>
        </is>
      </c>
    </row>
    <row r="42" ht="24" customHeight="1">
      <c r="B42" s="11" t="inlineStr">
        <is>
          <t>بعد الهدر</t>
        </is>
      </c>
      <c r="C42" s="18">
        <f>C41*(1+الإعدادات!$B$5)</f>
        <v/>
      </c>
      <c r="D42" s="53">
        <f>"+ "&amp;TEXT(الإعدادات!$B$5,"0.0%")&amp;" هدر — زيادة: "&amp;TEXT(C42-C41,"#,##0.00")&amp;" ر.س"</f>
        <v/>
      </c>
    </row>
    <row r="43" ht="24" customHeight="1">
      <c r="B43" s="11" t="inlineStr">
        <is>
          <t>توزيع المصاريف الثابتة</t>
        </is>
      </c>
      <c r="C43" s="18">
        <f>'لوحة التحكم'!$C$19</f>
        <v/>
      </c>
      <c r="D43" s="54">
        <f>"من إجمالي "&amp;TEXT(لوحة_التحكم!$C$16,"#,##0.00 ر.س")&amp;" ÷ "&amp;TEXT(الإعدادات!$B$6,"#,##0")&amp;" وحدة"</f>
        <v/>
      </c>
    </row>
    <row r="44" ht="24" customHeight="1">
      <c r="B44" s="11" t="inlineStr">
        <is>
          <t>التكاليف المتغيرة / طلب</t>
        </is>
      </c>
      <c r="C44" s="18">
        <f>'لوحة التحكم'!$C$17</f>
        <v/>
      </c>
      <c r="D44" s="52" t="inlineStr">
        <is>
          <t>تغليف + غاز + صيانة + ...</t>
        </is>
      </c>
    </row>
    <row r="45" ht="28" customHeight="1">
      <c r="B45" s="55" t="inlineStr">
        <is>
          <t>إجمالي التكلفة / وحدة</t>
        </is>
      </c>
      <c r="C45" s="56">
        <f>C42+C43+C44</f>
        <v/>
      </c>
      <c r="D45" s="14" t="inlineStr"/>
    </row>
    <row r="46" ht="30" customHeight="1">
      <c r="B46" s="57">
        <f>"الحد الأدنى للسعر (هامش "&amp;TEXT(الإعدادات!$B$4,"0%")&amp;")"</f>
        <v/>
      </c>
      <c r="C46" s="58">
        <f>IF((1-الإعدادات!$B$4-لوحة_التحكم!$C$18)&gt;0,C45/(1-الإعدادات!$B$4-لوحة_التحكم!$C$18),0)</f>
        <v/>
      </c>
      <c r="D46" s="59">
        <f>"تكلفة "&amp;TEXT(C45,"#,##0.00")&amp;" ر.س ÷ (1 - هامش - عمولة)"</f>
        <v/>
      </c>
    </row>
    <row r="47" ht="30" customHeight="1">
      <c r="B47" s="60" t="inlineStr">
        <is>
          <t>سعر البيع المقترح (أدخله)</t>
        </is>
      </c>
      <c r="C47" s="38" t="n">
        <v>0</v>
      </c>
      <c r="D47" s="61" t="inlineStr">
        <is>
          <t>← أدخل سعر البيع الذي تريد تحديده</t>
        </is>
      </c>
    </row>
    <row r="48" ht="28" customHeight="1">
      <c r="B48" s="3" t="inlineStr">
        <is>
          <t>حالة السعر</t>
        </is>
      </c>
      <c r="C48" s="62">
        <f>IF(C47=0,"أدخل السعر أولاً",IF(C47&gt;=C46,"✅ السعر صحيح",IF(C47&gt;=C46*0.9,"⚠️ السعر قريب - راجع","🚨 السعر منخفض جداً")))</f>
        <v/>
      </c>
      <c r="D48" s="54">
        <f>IF(C47&gt;0,"الحد الأدنى: "&amp;TEXT(C46,"#,##0.00")&amp;" ر.س","")</f>
        <v/>
      </c>
    </row>
    <row r="49" ht="24" customHeight="1">
      <c r="B49" s="3" t="inlineStr">
        <is>
          <t>هامش الربح الفعلي %</t>
        </is>
      </c>
      <c r="C49" s="63">
        <f>IF(C47&gt;0,(C47-(C45+لوحة_التحكم!$C$18*C47))/C47,0)</f>
        <v/>
      </c>
      <c r="D49" s="11" t="inlineStr"/>
    </row>
    <row r="50" ht="24" customHeight="1">
      <c r="B50" s="3" t="inlineStr">
        <is>
          <t>نقطة التعادل (وحدة/شهر)</t>
        </is>
      </c>
      <c r="C50" s="64">
        <f>IF(AND(C46&gt;0,(C46-(C42+C44))&gt;0),CEILING(لوحة_التحكم!$C$16/(C46-(C42+C44)),1),0)</f>
        <v/>
      </c>
      <c r="D50" s="11" t="inlineStr"/>
    </row>
    <row r="51" ht="12" customHeight="1">
      <c r="B51" s="65" t="inlineStr"/>
    </row>
    <row r="52" ht="12" customHeight="1">
      <c r="B52" s="65" t="inlineStr"/>
    </row>
    <row r="53" ht="36" customHeight="1">
      <c r="B53" s="49" t="inlineStr">
        <is>
          <t>🍽️  المنتج 3</t>
        </is>
      </c>
    </row>
    <row r="54" ht="30" customHeight="1">
      <c r="B54" s="3" t="inlineStr">
        <is>
          <t>اسم المنتج</t>
        </is>
      </c>
      <c r="C54" s="42" t="inlineStr">
        <is>
          <t>منتج 3</t>
        </is>
      </c>
      <c r="D54" s="3" t="inlineStr">
        <is>
          <t>وحدات/شهر</t>
        </is>
      </c>
      <c r="E54" s="6" t="n">
        <v>100</v>
      </c>
      <c r="F54" s="37" t="inlineStr"/>
    </row>
    <row r="55" ht="26" customHeight="1">
      <c r="B55" s="50" t="inlineStr">
        <is>
          <t>🧂  المكونات والمواد الخام</t>
        </is>
      </c>
    </row>
    <row r="56" ht="24" customHeight="1">
      <c r="B56" s="36" t="inlineStr">
        <is>
          <t>المكوّن</t>
        </is>
      </c>
      <c r="C56" s="36" t="inlineStr">
        <is>
          <t>سعر الوحدة (ر.س)</t>
        </is>
      </c>
      <c r="D56" s="36" t="inlineStr">
        <is>
          <t>الكمية</t>
        </is>
      </c>
      <c r="E56" s="36" t="inlineStr">
        <is>
          <t>التكلفة الإجمالية</t>
        </is>
      </c>
      <c r="F56" s="36" t="inlineStr">
        <is>
          <t>ملاحظات</t>
        </is>
      </c>
    </row>
    <row r="57" ht="24" customHeight="1">
      <c r="B57" s="37" t="inlineStr"/>
      <c r="C57" s="43" t="n">
        <v>0</v>
      </c>
      <c r="D57" s="51" t="n">
        <v>0</v>
      </c>
      <c r="E57" s="18">
        <f>C57*D57</f>
        <v/>
      </c>
      <c r="F57" s="37" t="inlineStr"/>
    </row>
    <row r="58" ht="24" customHeight="1">
      <c r="B58" s="11" t="inlineStr"/>
      <c r="C58" s="43" t="n">
        <v>0</v>
      </c>
      <c r="D58" s="51" t="n">
        <v>0</v>
      </c>
      <c r="E58" s="18">
        <f>C58*D58</f>
        <v/>
      </c>
      <c r="F58" s="11" t="inlineStr"/>
    </row>
    <row r="59" ht="24" customHeight="1">
      <c r="B59" s="37" t="inlineStr"/>
      <c r="C59" s="43" t="n">
        <v>0</v>
      </c>
      <c r="D59" s="51" t="n">
        <v>0</v>
      </c>
      <c r="E59" s="18">
        <f>C59*D59</f>
        <v/>
      </c>
      <c r="F59" s="37" t="inlineStr"/>
    </row>
    <row r="60" ht="24" customHeight="1">
      <c r="B60" s="11" t="inlineStr"/>
      <c r="C60" s="43" t="n">
        <v>0</v>
      </c>
      <c r="D60" s="51" t="n">
        <v>0</v>
      </c>
      <c r="E60" s="18">
        <f>C60*D60</f>
        <v/>
      </c>
      <c r="F60" s="11" t="inlineStr"/>
    </row>
    <row r="61" ht="24" customHeight="1">
      <c r="B61" s="37" t="inlineStr"/>
      <c r="C61" s="43" t="n">
        <v>0</v>
      </c>
      <c r="D61" s="51" t="n">
        <v>0</v>
      </c>
      <c r="E61" s="18">
        <f>C61*D61</f>
        <v/>
      </c>
      <c r="F61" s="37" t="inlineStr"/>
    </row>
    <row r="62" ht="24" customHeight="1">
      <c r="B62" s="11" t="inlineStr"/>
      <c r="C62" s="43" t="n">
        <v>0</v>
      </c>
      <c r="D62" s="51" t="n">
        <v>0</v>
      </c>
      <c r="E62" s="18">
        <f>C62*D62</f>
        <v/>
      </c>
      <c r="F62" s="11" t="inlineStr"/>
    </row>
    <row r="63" ht="24" customHeight="1">
      <c r="B63" s="37" t="inlineStr"/>
      <c r="C63" s="43" t="n">
        <v>0</v>
      </c>
      <c r="D63" s="51" t="n">
        <v>0</v>
      </c>
      <c r="E63" s="18">
        <f>C63*D63</f>
        <v/>
      </c>
      <c r="F63" s="37" t="inlineStr"/>
    </row>
    <row r="64" ht="24" customHeight="1">
      <c r="B64" s="11" t="inlineStr"/>
      <c r="C64" s="43" t="n">
        <v>0</v>
      </c>
      <c r="D64" s="51" t="n">
        <v>0</v>
      </c>
      <c r="E64" s="18">
        <f>C64*D64</f>
        <v/>
      </c>
      <c r="F64" s="11" t="inlineStr"/>
    </row>
    <row r="65" ht="26" customHeight="1">
      <c r="B65" s="50" t="inlineStr">
        <is>
          <t>📊  تفصيل التكلفة والسعر</t>
        </is>
      </c>
    </row>
    <row r="66" ht="24" customHeight="1">
      <c r="B66" s="11" t="inlineStr">
        <is>
          <t>تكلفة المواد الخام</t>
        </is>
      </c>
      <c r="C66" s="18">
        <f>SUM(E57:E64)</f>
        <v/>
      </c>
      <c r="D66" s="52" t="inlineStr">
        <is>
          <t>مجموع تكلفة المكونات</t>
        </is>
      </c>
    </row>
    <row r="67" ht="24" customHeight="1">
      <c r="B67" s="11" t="inlineStr">
        <is>
          <t>بعد الهدر</t>
        </is>
      </c>
      <c r="C67" s="18">
        <f>C66*(1+الإعدادات!$B$5)</f>
        <v/>
      </c>
      <c r="D67" s="53">
        <f>"+ "&amp;TEXT(الإعدادات!$B$5,"0.0%")&amp;" هدر — زيادة: "&amp;TEXT(C67-C66,"#,##0.00")&amp;" ر.س"</f>
        <v/>
      </c>
    </row>
    <row r="68" ht="24" customHeight="1">
      <c r="B68" s="11" t="inlineStr">
        <is>
          <t>توزيع المصاريف الثابتة</t>
        </is>
      </c>
      <c r="C68" s="18">
        <f>'لوحة التحكم'!$C$19</f>
        <v/>
      </c>
      <c r="D68" s="54">
        <f>"من إجمالي "&amp;TEXT(لوحة_التحكم!$C$16,"#,##0.00 ر.س")&amp;" ÷ "&amp;TEXT(الإعدادات!$B$6,"#,##0")&amp;" وحدة"</f>
        <v/>
      </c>
    </row>
    <row r="69" ht="24" customHeight="1">
      <c r="B69" s="11" t="inlineStr">
        <is>
          <t>التكاليف المتغيرة / طلب</t>
        </is>
      </c>
      <c r="C69" s="18">
        <f>'لوحة التحكم'!$C$17</f>
        <v/>
      </c>
      <c r="D69" s="52" t="inlineStr">
        <is>
          <t>تغليف + غاز + صيانة + ...</t>
        </is>
      </c>
    </row>
    <row r="70" ht="28" customHeight="1">
      <c r="B70" s="55" t="inlineStr">
        <is>
          <t>إجمالي التكلفة / وحدة</t>
        </is>
      </c>
      <c r="C70" s="56">
        <f>C67+C68+C69</f>
        <v/>
      </c>
      <c r="D70" s="14" t="inlineStr"/>
    </row>
    <row r="71" ht="30" customHeight="1">
      <c r="B71" s="57">
        <f>"الحد الأدنى للسعر (هامش "&amp;TEXT(الإعدادات!$B$4,"0%")&amp;")"</f>
        <v/>
      </c>
      <c r="C71" s="58">
        <f>IF((1-الإعدادات!$B$4-لوحة_التحكم!$C$18)&gt;0,C70/(1-الإعدادات!$B$4-لوحة_التحكم!$C$18),0)</f>
        <v/>
      </c>
      <c r="D71" s="59">
        <f>"تكلفة "&amp;TEXT(C70,"#,##0.00")&amp;" ر.س ÷ (1 - هامش - عمولة)"</f>
        <v/>
      </c>
    </row>
    <row r="72" ht="30" customHeight="1">
      <c r="B72" s="60" t="inlineStr">
        <is>
          <t>سعر البيع المقترح (أدخله)</t>
        </is>
      </c>
      <c r="C72" s="38" t="n">
        <v>0</v>
      </c>
      <c r="D72" s="61" t="inlineStr">
        <is>
          <t>← أدخل سعر البيع الذي تريد تحديده</t>
        </is>
      </c>
    </row>
    <row r="73" ht="28" customHeight="1">
      <c r="B73" s="3" t="inlineStr">
        <is>
          <t>حالة السعر</t>
        </is>
      </c>
      <c r="C73" s="62">
        <f>IF(C72=0,"أدخل السعر أولاً",IF(C72&gt;=C71,"✅ السعر صحيح",IF(C72&gt;=C71*0.9,"⚠️ السعر قريب - راجع","🚨 السعر منخفض جداً")))</f>
        <v/>
      </c>
      <c r="D73" s="54">
        <f>IF(C72&gt;0,"الحد الأدنى: "&amp;TEXT(C71,"#,##0.00")&amp;" ر.س","")</f>
        <v/>
      </c>
    </row>
    <row r="74" ht="24" customHeight="1">
      <c r="B74" s="3" t="inlineStr">
        <is>
          <t>هامش الربح الفعلي %</t>
        </is>
      </c>
      <c r="C74" s="63">
        <f>IF(C72&gt;0,(C72-(C70+لوحة_التحكم!$C$18*C72))/C72,0)</f>
        <v/>
      </c>
      <c r="D74" s="11" t="inlineStr"/>
    </row>
    <row r="75" ht="24" customHeight="1">
      <c r="B75" s="3" t="inlineStr">
        <is>
          <t>نقطة التعادل (وحدة/شهر)</t>
        </is>
      </c>
      <c r="C75" s="64">
        <f>IF(AND(C71&gt;0,(C71-(C67+C69))&gt;0),CEILING(لوحة_التحكم!$C$16/(C71-(C67+C69)),1),0)</f>
        <v/>
      </c>
      <c r="D75" s="11" t="inlineStr"/>
    </row>
    <row r="76" ht="12" customHeight="1">
      <c r="B76" s="65" t="inlineStr"/>
    </row>
    <row r="77" ht="12" customHeight="1">
      <c r="B77" s="65" t="inlineStr"/>
    </row>
    <row r="78" ht="36" customHeight="1">
      <c r="B78" s="49" t="inlineStr">
        <is>
          <t>🍽️  المنتج 4</t>
        </is>
      </c>
    </row>
    <row r="79" ht="30" customHeight="1">
      <c r="B79" s="3" t="inlineStr">
        <is>
          <t>اسم المنتج</t>
        </is>
      </c>
      <c r="C79" s="42" t="inlineStr">
        <is>
          <t>منتج 4</t>
        </is>
      </c>
      <c r="D79" s="3" t="inlineStr">
        <is>
          <t>وحدات/شهر</t>
        </is>
      </c>
      <c r="E79" s="6" t="n">
        <v>100</v>
      </c>
      <c r="F79" s="37" t="inlineStr"/>
    </row>
    <row r="80" ht="26" customHeight="1">
      <c r="B80" s="50" t="inlineStr">
        <is>
          <t>🧂  المكونات والمواد الخام</t>
        </is>
      </c>
    </row>
    <row r="81" ht="24" customHeight="1">
      <c r="B81" s="36" t="inlineStr">
        <is>
          <t>المكوّن</t>
        </is>
      </c>
      <c r="C81" s="36" t="inlineStr">
        <is>
          <t>سعر الوحدة (ر.س)</t>
        </is>
      </c>
      <c r="D81" s="36" t="inlineStr">
        <is>
          <t>الكمية</t>
        </is>
      </c>
      <c r="E81" s="36" t="inlineStr">
        <is>
          <t>التكلفة الإجمالية</t>
        </is>
      </c>
      <c r="F81" s="36" t="inlineStr">
        <is>
          <t>ملاحظات</t>
        </is>
      </c>
    </row>
    <row r="82" ht="24" customHeight="1">
      <c r="B82" s="37" t="inlineStr"/>
      <c r="C82" s="43" t="n">
        <v>0</v>
      </c>
      <c r="D82" s="51" t="n">
        <v>0</v>
      </c>
      <c r="E82" s="18">
        <f>C82*D82</f>
        <v/>
      </c>
      <c r="F82" s="37" t="inlineStr"/>
    </row>
    <row r="83" ht="24" customHeight="1">
      <c r="B83" s="11" t="inlineStr"/>
      <c r="C83" s="43" t="n">
        <v>0</v>
      </c>
      <c r="D83" s="51" t="n">
        <v>0</v>
      </c>
      <c r="E83" s="18">
        <f>C83*D83</f>
        <v/>
      </c>
      <c r="F83" s="11" t="inlineStr"/>
    </row>
    <row r="84" ht="24" customHeight="1">
      <c r="B84" s="37" t="inlineStr"/>
      <c r="C84" s="43" t="n">
        <v>0</v>
      </c>
      <c r="D84" s="51" t="n">
        <v>0</v>
      </c>
      <c r="E84" s="18">
        <f>C84*D84</f>
        <v/>
      </c>
      <c r="F84" s="37" t="inlineStr"/>
    </row>
    <row r="85" ht="24" customHeight="1">
      <c r="B85" s="11" t="inlineStr"/>
      <c r="C85" s="43" t="n">
        <v>0</v>
      </c>
      <c r="D85" s="51" t="n">
        <v>0</v>
      </c>
      <c r="E85" s="18">
        <f>C85*D85</f>
        <v/>
      </c>
      <c r="F85" s="11" t="inlineStr"/>
    </row>
    <row r="86" ht="24" customHeight="1">
      <c r="B86" s="37" t="inlineStr"/>
      <c r="C86" s="43" t="n">
        <v>0</v>
      </c>
      <c r="D86" s="51" t="n">
        <v>0</v>
      </c>
      <c r="E86" s="18">
        <f>C86*D86</f>
        <v/>
      </c>
      <c r="F86" s="37" t="inlineStr"/>
    </row>
    <row r="87" ht="24" customHeight="1">
      <c r="B87" s="11" t="inlineStr"/>
      <c r="C87" s="43" t="n">
        <v>0</v>
      </c>
      <c r="D87" s="51" t="n">
        <v>0</v>
      </c>
      <c r="E87" s="18">
        <f>C87*D87</f>
        <v/>
      </c>
      <c r="F87" s="11" t="inlineStr"/>
    </row>
    <row r="88" ht="24" customHeight="1">
      <c r="B88" s="37" t="inlineStr"/>
      <c r="C88" s="43" t="n">
        <v>0</v>
      </c>
      <c r="D88" s="51" t="n">
        <v>0</v>
      </c>
      <c r="E88" s="18">
        <f>C88*D88</f>
        <v/>
      </c>
      <c r="F88" s="37" t="inlineStr"/>
    </row>
    <row r="89" ht="24" customHeight="1">
      <c r="B89" s="11" t="inlineStr"/>
      <c r="C89" s="43" t="n">
        <v>0</v>
      </c>
      <c r="D89" s="51" t="n">
        <v>0</v>
      </c>
      <c r="E89" s="18">
        <f>C89*D89</f>
        <v/>
      </c>
      <c r="F89" s="11" t="inlineStr"/>
    </row>
    <row r="90" ht="26" customHeight="1">
      <c r="B90" s="50" t="inlineStr">
        <is>
          <t>📊  تفصيل التكلفة والسعر</t>
        </is>
      </c>
    </row>
    <row r="91" ht="24" customHeight="1">
      <c r="B91" s="11" t="inlineStr">
        <is>
          <t>تكلفة المواد الخام</t>
        </is>
      </c>
      <c r="C91" s="18">
        <f>SUM(E82:E89)</f>
        <v/>
      </c>
      <c r="D91" s="52" t="inlineStr">
        <is>
          <t>مجموع تكلفة المكونات</t>
        </is>
      </c>
    </row>
    <row r="92" ht="24" customHeight="1">
      <c r="B92" s="11" t="inlineStr">
        <is>
          <t>بعد الهدر</t>
        </is>
      </c>
      <c r="C92" s="18">
        <f>C91*(1+الإعدادات!$B$5)</f>
        <v/>
      </c>
      <c r="D92" s="53">
        <f>"+ "&amp;TEXT(الإعدادات!$B$5,"0.0%")&amp;" هدر — زيادة: "&amp;TEXT(C92-C91,"#,##0.00")&amp;" ر.س"</f>
        <v/>
      </c>
    </row>
    <row r="93" ht="24" customHeight="1">
      <c r="B93" s="11" t="inlineStr">
        <is>
          <t>توزيع المصاريف الثابتة</t>
        </is>
      </c>
      <c r="C93" s="18">
        <f>'لوحة التحكم'!$C$19</f>
        <v/>
      </c>
      <c r="D93" s="54">
        <f>"من إجمالي "&amp;TEXT(لوحة_التحكم!$C$16,"#,##0.00 ر.س")&amp;" ÷ "&amp;TEXT(الإعدادات!$B$6,"#,##0")&amp;" وحدة"</f>
        <v/>
      </c>
    </row>
    <row r="94" ht="24" customHeight="1">
      <c r="B94" s="11" t="inlineStr">
        <is>
          <t>التكاليف المتغيرة / طلب</t>
        </is>
      </c>
      <c r="C94" s="18">
        <f>'لوحة التحكم'!$C$17</f>
        <v/>
      </c>
      <c r="D94" s="52" t="inlineStr">
        <is>
          <t>تغليف + غاز + صيانة + ...</t>
        </is>
      </c>
    </row>
    <row r="95" ht="28" customHeight="1">
      <c r="B95" s="55" t="inlineStr">
        <is>
          <t>إجمالي التكلفة / وحدة</t>
        </is>
      </c>
      <c r="C95" s="56">
        <f>C92+C93+C94</f>
        <v/>
      </c>
      <c r="D95" s="14" t="inlineStr"/>
    </row>
    <row r="96" ht="30" customHeight="1">
      <c r="B96" s="57">
        <f>"الحد الأدنى للسعر (هامش "&amp;TEXT(الإعدادات!$B$4,"0%")&amp;")"</f>
        <v/>
      </c>
      <c r="C96" s="58">
        <f>IF((1-الإعدادات!$B$4-لوحة_التحكم!$C$18)&gt;0,C95/(1-الإعدادات!$B$4-لوحة_التحكم!$C$18),0)</f>
        <v/>
      </c>
      <c r="D96" s="59">
        <f>"تكلفة "&amp;TEXT(C95,"#,##0.00")&amp;" ر.س ÷ (1 - هامش - عمولة)"</f>
        <v/>
      </c>
    </row>
    <row r="97" ht="30" customHeight="1">
      <c r="B97" s="60" t="inlineStr">
        <is>
          <t>سعر البيع المقترح (أدخله)</t>
        </is>
      </c>
      <c r="C97" s="38" t="n">
        <v>0</v>
      </c>
      <c r="D97" s="61" t="inlineStr">
        <is>
          <t>← أدخل سعر البيع الذي تريد تحديده</t>
        </is>
      </c>
    </row>
    <row r="98" ht="28" customHeight="1">
      <c r="B98" s="3" t="inlineStr">
        <is>
          <t>حالة السعر</t>
        </is>
      </c>
      <c r="C98" s="62">
        <f>IF(C97=0,"أدخل السعر أولاً",IF(C97&gt;=C96,"✅ السعر صحيح",IF(C97&gt;=C96*0.9,"⚠️ السعر قريب - راجع","🚨 السعر منخفض جداً")))</f>
        <v/>
      </c>
      <c r="D98" s="54">
        <f>IF(C97&gt;0,"الحد الأدنى: "&amp;TEXT(C96,"#,##0.00")&amp;" ر.س","")</f>
        <v/>
      </c>
    </row>
    <row r="99" ht="24" customHeight="1">
      <c r="B99" s="3" t="inlineStr">
        <is>
          <t>هامش الربح الفعلي %</t>
        </is>
      </c>
      <c r="C99" s="63">
        <f>IF(C97&gt;0,(C97-(C95+لوحة_التحكم!$C$18*C97))/C97,0)</f>
        <v/>
      </c>
      <c r="D99" s="11" t="inlineStr"/>
    </row>
    <row r="100" ht="24" customHeight="1">
      <c r="B100" s="3" t="inlineStr">
        <is>
          <t>نقطة التعادل (وحدة/شهر)</t>
        </is>
      </c>
      <c r="C100" s="64">
        <f>IF(AND(C96&gt;0,(C96-(C92+C94))&gt;0),CEILING(لوحة_التحكم!$C$16/(C96-(C92+C94)),1),0)</f>
        <v/>
      </c>
      <c r="D100" s="11" t="inlineStr"/>
    </row>
    <row r="101" ht="12" customHeight="1">
      <c r="B101" s="65" t="inlineStr"/>
    </row>
    <row r="102" ht="12" customHeight="1">
      <c r="B102" s="65" t="inlineStr"/>
    </row>
    <row r="103" ht="36" customHeight="1">
      <c r="B103" s="49" t="inlineStr">
        <is>
          <t>🍽️  المنتج 5</t>
        </is>
      </c>
    </row>
    <row r="104" ht="30" customHeight="1">
      <c r="B104" s="3" t="inlineStr">
        <is>
          <t>اسم المنتج</t>
        </is>
      </c>
      <c r="C104" s="42" t="inlineStr">
        <is>
          <t>منتج 5</t>
        </is>
      </c>
      <c r="D104" s="3" t="inlineStr">
        <is>
          <t>وحدات/شهر</t>
        </is>
      </c>
      <c r="E104" s="6" t="n">
        <v>100</v>
      </c>
      <c r="F104" s="37" t="inlineStr"/>
    </row>
    <row r="105" ht="26" customHeight="1">
      <c r="B105" s="50" t="inlineStr">
        <is>
          <t>🧂  المكونات والمواد الخام</t>
        </is>
      </c>
    </row>
    <row r="106" ht="24" customHeight="1">
      <c r="B106" s="36" t="inlineStr">
        <is>
          <t>المكوّن</t>
        </is>
      </c>
      <c r="C106" s="36" t="inlineStr">
        <is>
          <t>سعر الوحدة (ر.س)</t>
        </is>
      </c>
      <c r="D106" s="36" t="inlineStr">
        <is>
          <t>الكمية</t>
        </is>
      </c>
      <c r="E106" s="36" t="inlineStr">
        <is>
          <t>التكلفة الإجمالية</t>
        </is>
      </c>
      <c r="F106" s="36" t="inlineStr">
        <is>
          <t>ملاحظات</t>
        </is>
      </c>
    </row>
    <row r="107" ht="24" customHeight="1">
      <c r="B107" s="37" t="inlineStr"/>
      <c r="C107" s="43" t="n">
        <v>0</v>
      </c>
      <c r="D107" s="51" t="n">
        <v>0</v>
      </c>
      <c r="E107" s="18">
        <f>C107*D107</f>
        <v/>
      </c>
      <c r="F107" s="37" t="inlineStr"/>
    </row>
    <row r="108" ht="24" customHeight="1">
      <c r="B108" s="11" t="inlineStr"/>
      <c r="C108" s="43" t="n">
        <v>0</v>
      </c>
      <c r="D108" s="51" t="n">
        <v>0</v>
      </c>
      <c r="E108" s="18">
        <f>C108*D108</f>
        <v/>
      </c>
      <c r="F108" s="11" t="inlineStr"/>
    </row>
    <row r="109" ht="24" customHeight="1">
      <c r="B109" s="37" t="inlineStr"/>
      <c r="C109" s="43" t="n">
        <v>0</v>
      </c>
      <c r="D109" s="51" t="n">
        <v>0</v>
      </c>
      <c r="E109" s="18">
        <f>C109*D109</f>
        <v/>
      </c>
      <c r="F109" s="37" t="inlineStr"/>
    </row>
    <row r="110" ht="24" customHeight="1">
      <c r="B110" s="11" t="inlineStr"/>
      <c r="C110" s="43" t="n">
        <v>0</v>
      </c>
      <c r="D110" s="51" t="n">
        <v>0</v>
      </c>
      <c r="E110" s="18">
        <f>C110*D110</f>
        <v/>
      </c>
      <c r="F110" s="11" t="inlineStr"/>
    </row>
    <row r="111" ht="24" customHeight="1">
      <c r="B111" s="37" t="inlineStr"/>
      <c r="C111" s="43" t="n">
        <v>0</v>
      </c>
      <c r="D111" s="51" t="n">
        <v>0</v>
      </c>
      <c r="E111" s="18">
        <f>C111*D111</f>
        <v/>
      </c>
      <c r="F111" s="37" t="inlineStr"/>
    </row>
    <row r="112" ht="24" customHeight="1">
      <c r="B112" s="11" t="inlineStr"/>
      <c r="C112" s="43" t="n">
        <v>0</v>
      </c>
      <c r="D112" s="51" t="n">
        <v>0</v>
      </c>
      <c r="E112" s="18">
        <f>C112*D112</f>
        <v/>
      </c>
      <c r="F112" s="11" t="inlineStr"/>
    </row>
    <row r="113" ht="24" customHeight="1">
      <c r="B113" s="37" t="inlineStr"/>
      <c r="C113" s="43" t="n">
        <v>0</v>
      </c>
      <c r="D113" s="51" t="n">
        <v>0</v>
      </c>
      <c r="E113" s="18">
        <f>C113*D113</f>
        <v/>
      </c>
      <c r="F113" s="37" t="inlineStr"/>
    </row>
    <row r="114" ht="24" customHeight="1">
      <c r="B114" s="11" t="inlineStr"/>
      <c r="C114" s="43" t="n">
        <v>0</v>
      </c>
      <c r="D114" s="51" t="n">
        <v>0</v>
      </c>
      <c r="E114" s="18">
        <f>C114*D114</f>
        <v/>
      </c>
      <c r="F114" s="11" t="inlineStr"/>
    </row>
    <row r="115" ht="26" customHeight="1">
      <c r="B115" s="50" t="inlineStr">
        <is>
          <t>📊  تفصيل التكلفة والسعر</t>
        </is>
      </c>
    </row>
    <row r="116" ht="24" customHeight="1">
      <c r="B116" s="11" t="inlineStr">
        <is>
          <t>تكلفة المواد الخام</t>
        </is>
      </c>
      <c r="C116" s="18">
        <f>SUM(E107:E114)</f>
        <v/>
      </c>
      <c r="D116" s="52" t="inlineStr">
        <is>
          <t>مجموع تكلفة المكونات</t>
        </is>
      </c>
    </row>
    <row r="117" ht="24" customHeight="1">
      <c r="B117" s="11" t="inlineStr">
        <is>
          <t>بعد الهدر</t>
        </is>
      </c>
      <c r="C117" s="18">
        <f>C116*(1+الإعدادات!$B$5)</f>
        <v/>
      </c>
      <c r="D117" s="53">
        <f>"+ "&amp;TEXT(الإعدادات!$B$5,"0.0%")&amp;" هدر — زيادة: "&amp;TEXT(C117-C116,"#,##0.00")&amp;" ر.س"</f>
        <v/>
      </c>
    </row>
    <row r="118" ht="24" customHeight="1">
      <c r="B118" s="11" t="inlineStr">
        <is>
          <t>توزيع المصاريف الثابتة</t>
        </is>
      </c>
      <c r="C118" s="18">
        <f>'لوحة التحكم'!$C$19</f>
        <v/>
      </c>
      <c r="D118" s="54">
        <f>"من إجمالي "&amp;TEXT(لوحة_التحكم!$C$16,"#,##0.00 ر.س")&amp;" ÷ "&amp;TEXT(الإعدادات!$B$6,"#,##0")&amp;" وحدة"</f>
        <v/>
      </c>
    </row>
    <row r="119" ht="24" customHeight="1">
      <c r="B119" s="11" t="inlineStr">
        <is>
          <t>التكاليف المتغيرة / طلب</t>
        </is>
      </c>
      <c r="C119" s="18">
        <f>'لوحة التحكم'!$C$17</f>
        <v/>
      </c>
      <c r="D119" s="52" t="inlineStr">
        <is>
          <t>تغليف + غاز + صيانة + ...</t>
        </is>
      </c>
    </row>
    <row r="120" ht="28" customHeight="1">
      <c r="B120" s="55" t="inlineStr">
        <is>
          <t>إجمالي التكلفة / وحدة</t>
        </is>
      </c>
      <c r="C120" s="56">
        <f>C117+C118+C119</f>
        <v/>
      </c>
      <c r="D120" s="14" t="inlineStr"/>
    </row>
    <row r="121" ht="30" customHeight="1">
      <c r="B121" s="57">
        <f>"الحد الأدنى للسعر (هامش "&amp;TEXT(الإعدادات!$B$4,"0%")&amp;")"</f>
        <v/>
      </c>
      <c r="C121" s="58">
        <f>IF((1-الإعدادات!$B$4-لوحة_التحكم!$C$18)&gt;0,C120/(1-الإعدادات!$B$4-لوحة_التحكم!$C$18),0)</f>
        <v/>
      </c>
      <c r="D121" s="59">
        <f>"تكلفة "&amp;TEXT(C120,"#,##0.00")&amp;" ر.س ÷ (1 - هامش - عمولة)"</f>
        <v/>
      </c>
    </row>
    <row r="122" ht="30" customHeight="1">
      <c r="B122" s="60" t="inlineStr">
        <is>
          <t>سعر البيع المقترح (أدخله)</t>
        </is>
      </c>
      <c r="C122" s="38" t="n">
        <v>0</v>
      </c>
      <c r="D122" s="61" t="inlineStr">
        <is>
          <t>← أدخل سعر البيع الذي تريد تحديده</t>
        </is>
      </c>
    </row>
    <row r="123" ht="28" customHeight="1">
      <c r="B123" s="3" t="inlineStr">
        <is>
          <t>حالة السعر</t>
        </is>
      </c>
      <c r="C123" s="62">
        <f>IF(C122=0,"أدخل السعر أولاً",IF(C122&gt;=C121,"✅ السعر صحيح",IF(C122&gt;=C121*0.9,"⚠️ السعر قريب - راجع","🚨 السعر منخفض جداً")))</f>
        <v/>
      </c>
      <c r="D123" s="54">
        <f>IF(C122&gt;0,"الحد الأدنى: "&amp;TEXT(C121,"#,##0.00")&amp;" ر.س","")</f>
        <v/>
      </c>
    </row>
    <row r="124" ht="24" customHeight="1">
      <c r="B124" s="3" t="inlineStr">
        <is>
          <t>هامش الربح الفعلي %</t>
        </is>
      </c>
      <c r="C124" s="63">
        <f>IF(C122&gt;0,(C122-(C120+لوحة_التحكم!$C$18*C122))/C122,0)</f>
        <v/>
      </c>
      <c r="D124" s="11" t="inlineStr"/>
    </row>
    <row r="125" ht="24" customHeight="1">
      <c r="B125" s="3" t="inlineStr">
        <is>
          <t>نقطة التعادل (وحدة/شهر)</t>
        </is>
      </c>
      <c r="C125" s="64">
        <f>IF(AND(C121&gt;0,(C121-(C117+C119))&gt;0),CEILING(لوحة_التحكم!$C$16/(C121-(C117+C119)),1),0)</f>
        <v/>
      </c>
      <c r="D125" s="11" t="inlineStr"/>
    </row>
    <row r="126" ht="12" customHeight="1">
      <c r="B126" s="65" t="inlineStr"/>
    </row>
    <row r="127" ht="12" customHeight="1">
      <c r="B127" s="65" t="inlineStr"/>
    </row>
  </sheetData>
  <mergeCells count="77">
    <mergeCell ref="D116:F116"/>
    <mergeCell ref="B90:F90"/>
    <mergeCell ref="B3:F3"/>
    <mergeCell ref="D66:F66"/>
    <mergeCell ref="D75:F75"/>
    <mergeCell ref="D47:F47"/>
    <mergeCell ref="B27:F27"/>
    <mergeCell ref="B52:F52"/>
    <mergeCell ref="B2:F2"/>
    <mergeCell ref="D92:F92"/>
    <mergeCell ref="B53:F53"/>
    <mergeCell ref="D23:F23"/>
    <mergeCell ref="D94:F94"/>
    <mergeCell ref="B28:F28"/>
    <mergeCell ref="B30:F30"/>
    <mergeCell ref="D119:F119"/>
    <mergeCell ref="B15:F15"/>
    <mergeCell ref="B80:F80"/>
    <mergeCell ref="D96:F96"/>
    <mergeCell ref="D120:F120"/>
    <mergeCell ref="D41:F41"/>
    <mergeCell ref="D17:F17"/>
    <mergeCell ref="D91:F91"/>
    <mergeCell ref="D43:F43"/>
    <mergeCell ref="B105:F105"/>
    <mergeCell ref="D93:F93"/>
    <mergeCell ref="D74:F74"/>
    <mergeCell ref="D68:F68"/>
    <mergeCell ref="D25:F25"/>
    <mergeCell ref="D117:F117"/>
    <mergeCell ref="D67:F67"/>
    <mergeCell ref="D69:F69"/>
    <mergeCell ref="D100:F100"/>
    <mergeCell ref="D46:F46"/>
    <mergeCell ref="B5:F5"/>
    <mergeCell ref="B76:F76"/>
    <mergeCell ref="D21:F21"/>
    <mergeCell ref="D95:F95"/>
    <mergeCell ref="B126:F126"/>
    <mergeCell ref="D97:F97"/>
    <mergeCell ref="D16:F16"/>
    <mergeCell ref="D122:F122"/>
    <mergeCell ref="D71:F71"/>
    <mergeCell ref="D18:F18"/>
    <mergeCell ref="B1:F1"/>
    <mergeCell ref="D121:F121"/>
    <mergeCell ref="D73:F73"/>
    <mergeCell ref="D42:F42"/>
    <mergeCell ref="D123:F123"/>
    <mergeCell ref="D50:F50"/>
    <mergeCell ref="D44:F44"/>
    <mergeCell ref="D20:F20"/>
    <mergeCell ref="B65:F65"/>
    <mergeCell ref="D99:F99"/>
    <mergeCell ref="D22:F22"/>
    <mergeCell ref="D45:F45"/>
    <mergeCell ref="D124:F124"/>
    <mergeCell ref="D70:F70"/>
    <mergeCell ref="D48:F48"/>
    <mergeCell ref="B115:F115"/>
    <mergeCell ref="B102:F102"/>
    <mergeCell ref="D125:F125"/>
    <mergeCell ref="D72:F72"/>
    <mergeCell ref="B77:F77"/>
    <mergeCell ref="D118:F118"/>
    <mergeCell ref="B101:F101"/>
    <mergeCell ref="D24:F24"/>
    <mergeCell ref="D98:F98"/>
    <mergeCell ref="B103:F103"/>
    <mergeCell ref="B78:F78"/>
    <mergeCell ref="B127:F127"/>
    <mergeCell ref="B40:F40"/>
    <mergeCell ref="D19:F19"/>
    <mergeCell ref="B55:F55"/>
    <mergeCell ref="B51:F51"/>
    <mergeCell ref="B26:F26"/>
    <mergeCell ref="D49:F49"/>
  </mergeCells>
  <conditionalFormatting sqref="C23">
    <cfRule type="expression" priority="1" dxfId="0">
      <formula>C23="✅ السعر صحيح"</formula>
    </cfRule>
    <cfRule type="expression" priority="2" dxfId="1">
      <formula>C23="⚠️ السعر قريب - راجع"</formula>
    </cfRule>
    <cfRule type="expression" priority="3" dxfId="2">
      <formula>LEFT(C23,1)="🚨"</formula>
    </cfRule>
  </conditionalFormatting>
  <conditionalFormatting sqref="C22">
    <cfRule type="expression" priority="4" dxfId="3">
      <formula>AND(C22&gt;0,C22&gt;=C21)</formula>
    </cfRule>
    <cfRule type="expression" priority="5" dxfId="4">
      <formula>AND(C22&gt;0,C22&lt;C21)</formula>
    </cfRule>
  </conditionalFormatting>
  <conditionalFormatting sqref="C48">
    <cfRule type="expression" priority="6" dxfId="0">
      <formula>C48="✅ السعر صحيح"</formula>
    </cfRule>
    <cfRule type="expression" priority="7" dxfId="1">
      <formula>C48="⚠️ السعر قريب - راجع"</formula>
    </cfRule>
    <cfRule type="expression" priority="8" dxfId="2">
      <formula>LEFT(C48,1)="🚨"</formula>
    </cfRule>
  </conditionalFormatting>
  <conditionalFormatting sqref="C47">
    <cfRule type="expression" priority="9" dxfId="3">
      <formula>AND(C47&gt;0,C47&gt;=C46)</formula>
    </cfRule>
    <cfRule type="expression" priority="10" dxfId="4">
      <formula>AND(C47&gt;0,C47&lt;C46)</formula>
    </cfRule>
  </conditionalFormatting>
  <conditionalFormatting sqref="C73">
    <cfRule type="expression" priority="11" dxfId="0">
      <formula>C73="✅ السعر صحيح"</formula>
    </cfRule>
    <cfRule type="expression" priority="12" dxfId="1">
      <formula>C73="⚠️ السعر قريب - راجع"</formula>
    </cfRule>
    <cfRule type="expression" priority="13" dxfId="2">
      <formula>LEFT(C73,1)="🚨"</formula>
    </cfRule>
  </conditionalFormatting>
  <conditionalFormatting sqref="C72">
    <cfRule type="expression" priority="14" dxfId="3">
      <formula>AND(C72&gt;0,C72&gt;=C71)</formula>
    </cfRule>
    <cfRule type="expression" priority="15" dxfId="4">
      <formula>AND(C72&gt;0,C72&lt;C71)</formula>
    </cfRule>
  </conditionalFormatting>
  <conditionalFormatting sqref="C98">
    <cfRule type="expression" priority="16" dxfId="0">
      <formula>C98="✅ السعر صحيح"</formula>
    </cfRule>
    <cfRule type="expression" priority="17" dxfId="1">
      <formula>C98="⚠️ السعر قريب - راجع"</formula>
    </cfRule>
    <cfRule type="expression" priority="18" dxfId="2">
      <formula>LEFT(C98,1)="🚨"</formula>
    </cfRule>
  </conditionalFormatting>
  <conditionalFormatting sqref="C97">
    <cfRule type="expression" priority="19" dxfId="3">
      <formula>AND(C97&gt;0,C97&gt;=C96)</formula>
    </cfRule>
    <cfRule type="expression" priority="20" dxfId="4">
      <formula>AND(C97&gt;0,C97&lt;C96)</formula>
    </cfRule>
  </conditionalFormatting>
  <conditionalFormatting sqref="C123">
    <cfRule type="expression" priority="21" dxfId="0">
      <formula>C123="✅ السعر صحيح"</formula>
    </cfRule>
    <cfRule type="expression" priority="22" dxfId="1">
      <formula>C123="⚠️ السعر قريب - راجع"</formula>
    </cfRule>
    <cfRule type="expression" priority="23" dxfId="2">
      <formula>LEFT(C123,1)="🚨"</formula>
    </cfRule>
  </conditionalFormatting>
  <conditionalFormatting sqref="C122">
    <cfRule type="expression" priority="24" dxfId="3">
      <formula>AND(C122&gt;0,C122&gt;=C121)</formula>
    </cfRule>
    <cfRule type="expression" priority="25" dxfId="4">
      <formula>AND(C122&gt;0,C122&lt;C121)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2026-05-17T09:07:51Z</dcterms:created>
  <dcterms:modified xsi:type="dcterms:W3CDTF">2026-05-17T09:07:51Z</dcterms:modified>
</cp:coreProperties>
</file>